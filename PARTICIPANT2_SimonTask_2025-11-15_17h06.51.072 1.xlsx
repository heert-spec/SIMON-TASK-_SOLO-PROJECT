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C\EXCELCNV\37ef7862-032a-4314-a128-09a193eb1334\"/>
    </mc:Choice>
  </mc:AlternateContent>
  <xr:revisionPtr revIDLastSave="0" documentId="8_{3711B992-A74C-426D-ACF4-C3B967FEB51E}" xr6:coauthVersionLast="47" xr6:coauthVersionMax="47" xr10:uidLastSave="{00000000-0000-0000-0000-000000000000}"/>
  <bookViews>
    <workbookView xWindow="-60" yWindow="-60" windowWidth="15480" windowHeight="11640" activeTab="1" xr2:uid="{C55DB85C-1D70-474B-9C27-38D1105ACE6E}"/>
  </bookViews>
  <sheets>
    <sheet name="in" sheetId="1" r:id="rId1"/>
    <sheet name="CALC" sheetId="2" r:id="rId2"/>
  </sheets>
  <definedNames>
    <definedName name="_xlnm._FilterDatabase" localSheetId="1" hidden="1">CALC!$D$1:$D$104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7" i="2" l="1"/>
  <c r="K106" i="2"/>
  <c r="I107" i="2"/>
  <c r="I106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69" i="2"/>
  <c r="F67" i="2"/>
  <c r="F66" i="2"/>
  <c r="F65" i="2"/>
  <c r="F63" i="2"/>
  <c r="F61" i="2"/>
  <c r="F57" i="2"/>
  <c r="F29" i="2"/>
  <c r="F6" i="2"/>
  <c r="F4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<sst xmlns="http://schemas.openxmlformats.org/spreadsheetml/2006/main" count="1748" uniqueCount="52">
  <si>
    <t>color</t>
  </si>
  <si>
    <t>position</t>
  </si>
  <si>
    <t>correct_key</t>
  </si>
  <si>
    <t>congruency</t>
  </si>
  <si>
    <t>thisN</t>
  </si>
  <si>
    <t>key_resp.cor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</si>
  <si>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</si>
  <si>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</si>
  <si>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</si>
  <si>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</si>
  <si>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</si>
  <si>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</si>
  <si>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</si>
  <si>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</si>
  <si>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</si>
  <si>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</si>
  <si>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</si>
  <si>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</si>
  <si>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</si>
  <si>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Stimulus.started</t>
  </si>
  <si>
    <t>key_resp.started</t>
  </si>
  <si>
    <t>fixation.stopped</t>
  </si>
  <si>
    <t>Stimulus.stopped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</si>
  <si>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</si>
  <si>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</si>
  <si>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</si>
  <si>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</si>
  <si>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</si>
  <si>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</si>
  <si>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</si>
  <si>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</si>
  <si>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</si>
  <si>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</si>
  <si>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</si>
  <si>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</si>
  <si>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red</t>
  </si>
  <si>
    <t>[0.3, 0]</t>
  </si>
  <si>
    <t>z</t>
  </si>
  <si>
    <t>incongruent</t>
  </si>
  <si>
    <t>m</t>
  </si>
  <si>
    <t>None</t>
  </si>
  <si>
    <t>2025-11-15_17h06.51.072</t>
  </si>
  <si>
    <t>SimonTask</t>
  </si>
  <si>
    <t>2025.1.1</t>
  </si>
  <si>
    <t>2025-11-15 17h07.27.861877 +0530</t>
  </si>
  <si>
    <t>green</t>
  </si>
  <si>
    <t>[-0.3, 0]</t>
  </si>
  <si>
    <t>congruent</t>
  </si>
  <si>
    <t>MEAN RT</t>
  </si>
  <si>
    <t>ACCURACY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</si>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</sst>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RT_P2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CALC!$H$106:$H$107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CALC!$I$106:$I$107</c:f>
              <c:numCache>
                <c:formatCode>General</c:formatCode>
                <c:ptCount val="2"/>
                <c:pt idx="0">
                  <c:v>1.5763939521263046</c:v>
                </c:pt>
                <c:pt idx="1">
                  <c:v>1.5510446379985632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9-4567-92C9-DA0F7BD8A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978952"/>
        <c:axId val="462991368"/>
      </c:barChart>
      <c:catAx>
        <c:axId val="456978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91368"/>
        <c:crosses val="autoZero"/>
        <c:auto val="1"/>
        <c:lblAlgn val="ctr"/>
        <c:lblOffset val="100"/>
        <c:noMultiLvlLbl val="0"/>
      </c:catAx>
      <c:valAx>
        <c:axId val="46299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7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_P2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CALC!$J$106:$J$107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CALC!$K$106:$K$107</c:f>
              <c:numCache>
                <c:formatCode>General</c:formatCode>
                <c:ptCount val="2"/>
                <c:pt idx="0">
                  <c:v>0.64893617021276595</c:v>
                </c:pt>
                <c:pt idx="1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7-4126-B11C-4466D53DE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592071"/>
        <c:axId val="462964232"/>
      </c:barChart>
      <c:catAx>
        <c:axId val="877592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64232"/>
        <c:crosses val="autoZero"/>
        <c:auto val="1"/>
        <c:lblAlgn val="ctr"/>
        <c:lblOffset val="100"/>
        <c:noMultiLvlLbl val="0"/>
      </c:catAx>
      <c:valAx>
        <c:axId val="46296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9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86</xdr:row>
      <xdr:rowOff>104775</xdr:rowOff>
    </xdr:from>
    <xdr:to>
      <xdr:col>13</xdr:col>
      <xdr:colOff>47625</xdr:colOff>
      <xdr:row>100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B4A10-E66D-BB8F-BE27-498F06259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86</xdr:row>
      <xdr:rowOff>104775</xdr:rowOff>
    </xdr:from>
    <xdr:to>
      <xdr:col>21</xdr:col>
      <xdr:colOff>9525</xdr:colOff>
      <xdr:row>100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FA85F-8339-CA69-CFAF-39E284AC73A2}"/>
            </a:ext>
            <a:ext uri="{147F2762-F138-4A5C-976F-8EAC2B608ADB}">
              <a16:predDERef xmlns:a16="http://schemas.microsoft.com/office/drawing/2014/main" pred="{CD5B4A10-E66D-BB8F-BE27-498F06259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9937-5673-4684-94B0-CA275A3303FB}">
  <dimension ref="A1:AI101"/>
  <sheetViews>
    <sheetView workbookViewId="0">
      <selection activeCell="J1" sqref="J1:J1048576"/>
    </sheetView>
  </sheetViews>
  <sheetFormatPr defaultRowHeight="15"/>
  <cols>
    <col min="6" max="6" width="12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>
        <v>0</v>
      </c>
      <c r="F2">
        <f>IF(OR(AND(A2="red", I2="z"), AND(A2="green", I2="m")), 1, 0)</f>
        <v>0</v>
      </c>
      <c r="G2">
        <v>0</v>
      </c>
      <c r="H2">
        <v>0</v>
      </c>
      <c r="I2" t="s">
        <v>39</v>
      </c>
      <c r="J2">
        <v>1.25707719998899</v>
      </c>
      <c r="K2" t="s">
        <v>40</v>
      </c>
      <c r="L2">
        <v>0</v>
      </c>
      <c r="M2">
        <v>0</v>
      </c>
      <c r="N2">
        <v>0</v>
      </c>
      <c r="O2">
        <v>1</v>
      </c>
      <c r="P2">
        <v>9.2947999946773E-3</v>
      </c>
      <c r="R2">
        <v>6.3433999894186802E-3</v>
      </c>
      <c r="S2">
        <v>9.2947999946773E-3</v>
      </c>
      <c r="T2">
        <v>9.2947999946773E-3</v>
      </c>
      <c r="U2">
        <v>9.2947999946773E-3</v>
      </c>
      <c r="V2">
        <v>0.51395470002898902</v>
      </c>
      <c r="W2">
        <v>1.01428030000533</v>
      </c>
      <c r="X2">
        <v>1.2995797999901599</v>
      </c>
      <c r="Y2" t="s">
        <v>39</v>
      </c>
      <c r="Z2">
        <v>1.25707719998899</v>
      </c>
      <c r="AA2" t="s">
        <v>40</v>
      </c>
      <c r="AB2">
        <v>2</v>
      </c>
      <c r="AC2">
        <v>1</v>
      </c>
      <c r="AD2" t="s">
        <v>41</v>
      </c>
      <c r="AE2" t="s">
        <v>42</v>
      </c>
      <c r="AG2" t="s">
        <v>43</v>
      </c>
      <c r="AH2">
        <v>59.9952363698971</v>
      </c>
      <c r="AI2" t="s">
        <v>44</v>
      </c>
    </row>
    <row r="3" spans="1:35">
      <c r="A3" t="s">
        <v>35</v>
      </c>
      <c r="B3" t="s">
        <v>36</v>
      </c>
      <c r="C3" t="s">
        <v>37</v>
      </c>
      <c r="D3" t="s">
        <v>38</v>
      </c>
      <c r="E3">
        <v>1</v>
      </c>
      <c r="F3">
        <f t="shared" ref="F3:F66" si="0">IF(OR(AND(A3="red", I3="z"), AND(A3="green", I3="m")), 1, 0)</f>
        <v>0</v>
      </c>
      <c r="G3">
        <v>1</v>
      </c>
      <c r="H3">
        <v>0</v>
      </c>
      <c r="I3" t="s">
        <v>39</v>
      </c>
      <c r="J3">
        <v>0.82162860000971705</v>
      </c>
      <c r="K3" t="s">
        <v>40</v>
      </c>
      <c r="L3">
        <v>0</v>
      </c>
      <c r="M3">
        <v>1</v>
      </c>
      <c r="N3">
        <v>1</v>
      </c>
      <c r="O3">
        <v>5</v>
      </c>
      <c r="P3">
        <v>1.30400489998282</v>
      </c>
      <c r="R3">
        <v>1.3002164000063201</v>
      </c>
      <c r="S3">
        <v>1.30400489998282</v>
      </c>
      <c r="T3">
        <v>1.30400489998282</v>
      </c>
      <c r="U3">
        <v>1.30400489998282</v>
      </c>
      <c r="V3">
        <v>1.8134992999839501</v>
      </c>
      <c r="X3">
        <v>2.1304460000246701</v>
      </c>
      <c r="Y3" t="s">
        <v>39</v>
      </c>
      <c r="Z3">
        <v>0.82162860000971705</v>
      </c>
      <c r="AA3" t="s">
        <v>40</v>
      </c>
      <c r="AB3">
        <v>2</v>
      </c>
      <c r="AC3">
        <v>1</v>
      </c>
      <c r="AD3" t="s">
        <v>41</v>
      </c>
      <c r="AE3" t="s">
        <v>42</v>
      </c>
      <c r="AG3" t="s">
        <v>43</v>
      </c>
      <c r="AH3">
        <v>59.9952363698971</v>
      </c>
      <c r="AI3" t="s">
        <v>44</v>
      </c>
    </row>
    <row r="4" spans="1:35">
      <c r="A4" t="s">
        <v>45</v>
      </c>
      <c r="B4" t="s">
        <v>46</v>
      </c>
      <c r="C4" t="s">
        <v>39</v>
      </c>
      <c r="D4" t="s">
        <v>38</v>
      </c>
      <c r="E4">
        <v>2</v>
      </c>
      <c r="F4">
        <f t="shared" si="0"/>
        <v>0</v>
      </c>
      <c r="G4">
        <v>2</v>
      </c>
      <c r="H4">
        <v>0</v>
      </c>
      <c r="I4" t="s">
        <v>37</v>
      </c>
      <c r="J4">
        <v>0.80952379998052404</v>
      </c>
      <c r="K4" t="s">
        <v>40</v>
      </c>
      <c r="L4">
        <v>0</v>
      </c>
      <c r="M4">
        <v>2</v>
      </c>
      <c r="N4">
        <v>2</v>
      </c>
      <c r="O4">
        <v>2</v>
      </c>
      <c r="P4">
        <v>2.1469910999876398</v>
      </c>
      <c r="R4">
        <v>2.13086580001981</v>
      </c>
      <c r="S4">
        <v>2.1469910999876398</v>
      </c>
      <c r="T4">
        <v>2.1469910999876398</v>
      </c>
      <c r="U4">
        <v>2.1469910999876398</v>
      </c>
      <c r="V4">
        <v>2.6467908999766201</v>
      </c>
      <c r="X4">
        <v>2.9639708999893601</v>
      </c>
      <c r="Y4" t="s">
        <v>37</v>
      </c>
      <c r="Z4">
        <v>0.80952379998052404</v>
      </c>
      <c r="AA4" t="s">
        <v>40</v>
      </c>
      <c r="AB4">
        <v>2</v>
      </c>
      <c r="AC4">
        <v>1</v>
      </c>
      <c r="AD4" t="s">
        <v>41</v>
      </c>
      <c r="AE4" t="s">
        <v>42</v>
      </c>
      <c r="AG4" t="s">
        <v>43</v>
      </c>
      <c r="AH4">
        <v>59.9952363698971</v>
      </c>
      <c r="AI4" t="s">
        <v>44</v>
      </c>
    </row>
    <row r="5" spans="1:35">
      <c r="A5" t="s">
        <v>45</v>
      </c>
      <c r="B5" t="s">
        <v>36</v>
      </c>
      <c r="C5" t="s">
        <v>39</v>
      </c>
      <c r="D5" t="s">
        <v>47</v>
      </c>
      <c r="E5">
        <v>3</v>
      </c>
      <c r="F5">
        <f t="shared" si="0"/>
        <v>1</v>
      </c>
      <c r="G5">
        <v>3</v>
      </c>
      <c r="H5">
        <v>0</v>
      </c>
      <c r="I5" t="s">
        <v>39</v>
      </c>
      <c r="J5">
        <v>3.2978861999581501</v>
      </c>
      <c r="K5" t="s">
        <v>40</v>
      </c>
      <c r="L5">
        <v>0</v>
      </c>
      <c r="M5">
        <v>3</v>
      </c>
      <c r="N5">
        <v>3</v>
      </c>
      <c r="O5">
        <v>3</v>
      </c>
      <c r="P5">
        <v>2.9801738000242</v>
      </c>
      <c r="R5">
        <v>2.9651068000239298</v>
      </c>
      <c r="S5">
        <v>2.9801738000242</v>
      </c>
      <c r="T5">
        <v>2.9801738000242</v>
      </c>
      <c r="U5">
        <v>2.9801738000242</v>
      </c>
      <c r="V5">
        <v>3.47999840002739</v>
      </c>
      <c r="W5">
        <v>3.9797751000150998</v>
      </c>
      <c r="X5">
        <v>6.2794393000076498</v>
      </c>
      <c r="Y5" t="s">
        <v>39</v>
      </c>
      <c r="Z5">
        <v>3.2978861999581501</v>
      </c>
      <c r="AA5" t="s">
        <v>40</v>
      </c>
      <c r="AB5">
        <v>2</v>
      </c>
      <c r="AC5">
        <v>1</v>
      </c>
      <c r="AD5" t="s">
        <v>41</v>
      </c>
      <c r="AE5" t="s">
        <v>42</v>
      </c>
      <c r="AG5" t="s">
        <v>43</v>
      </c>
      <c r="AH5">
        <v>59.9952363698971</v>
      </c>
      <c r="AI5" t="s">
        <v>44</v>
      </c>
    </row>
    <row r="6" spans="1:35">
      <c r="A6" t="s">
        <v>45</v>
      </c>
      <c r="B6" t="s">
        <v>46</v>
      </c>
      <c r="C6" t="s">
        <v>39</v>
      </c>
      <c r="D6" t="s">
        <v>38</v>
      </c>
      <c r="E6">
        <v>4</v>
      </c>
      <c r="F6">
        <f t="shared" si="0"/>
        <v>0</v>
      </c>
      <c r="G6">
        <v>4</v>
      </c>
      <c r="H6">
        <v>0</v>
      </c>
      <c r="I6" t="s">
        <v>37</v>
      </c>
      <c r="J6">
        <v>1.0246768999495499</v>
      </c>
      <c r="K6" t="s">
        <v>40</v>
      </c>
      <c r="L6">
        <v>0</v>
      </c>
      <c r="M6">
        <v>4</v>
      </c>
      <c r="N6">
        <v>4</v>
      </c>
      <c r="O6">
        <v>6</v>
      </c>
      <c r="P6">
        <v>6.2957700000260903</v>
      </c>
      <c r="R6">
        <v>6.28059510001912</v>
      </c>
      <c r="S6">
        <v>6.2957700000260903</v>
      </c>
      <c r="T6">
        <v>6.2957700000260903</v>
      </c>
      <c r="U6">
        <v>6.2957700000260903</v>
      </c>
      <c r="V6">
        <v>6.7954852000111696</v>
      </c>
      <c r="W6">
        <v>7.2950086999917403</v>
      </c>
      <c r="X6">
        <v>7.3290342999971401</v>
      </c>
      <c r="Y6" t="s">
        <v>37</v>
      </c>
      <c r="Z6">
        <v>1.0246768999495499</v>
      </c>
      <c r="AA6" t="s">
        <v>40</v>
      </c>
      <c r="AB6">
        <v>2</v>
      </c>
      <c r="AC6">
        <v>1</v>
      </c>
      <c r="AD6" t="s">
        <v>41</v>
      </c>
      <c r="AE6" t="s">
        <v>42</v>
      </c>
      <c r="AG6" t="s">
        <v>43</v>
      </c>
      <c r="AH6">
        <v>59.9952363698971</v>
      </c>
      <c r="AI6" t="s">
        <v>44</v>
      </c>
    </row>
    <row r="7" spans="1:35">
      <c r="A7" t="s">
        <v>35</v>
      </c>
      <c r="B7" t="s">
        <v>46</v>
      </c>
      <c r="C7" t="s">
        <v>37</v>
      </c>
      <c r="D7" t="s">
        <v>47</v>
      </c>
      <c r="E7">
        <v>5</v>
      </c>
      <c r="F7">
        <f t="shared" si="0"/>
        <v>1</v>
      </c>
      <c r="G7">
        <v>5</v>
      </c>
      <c r="H7">
        <v>0</v>
      </c>
      <c r="I7" t="s">
        <v>37</v>
      </c>
      <c r="J7">
        <v>0.64040889998432204</v>
      </c>
      <c r="K7" t="s">
        <v>40</v>
      </c>
      <c r="L7">
        <v>0</v>
      </c>
      <c r="M7">
        <v>5</v>
      </c>
      <c r="N7">
        <v>5</v>
      </c>
      <c r="O7">
        <v>8</v>
      </c>
      <c r="P7">
        <v>7.3452641000039796</v>
      </c>
      <c r="R7">
        <v>7.3300332999788198</v>
      </c>
      <c r="S7">
        <v>7.3452641000039796</v>
      </c>
      <c r="T7">
        <v>7.3452641000039796</v>
      </c>
      <c r="U7">
        <v>7.3452641000039796</v>
      </c>
      <c r="V7">
        <v>7.8451353000127702</v>
      </c>
      <c r="X7">
        <v>7.9956596000119999</v>
      </c>
      <c r="Y7" t="s">
        <v>37</v>
      </c>
      <c r="Z7">
        <v>0.64040889998432204</v>
      </c>
      <c r="AA7" t="s">
        <v>40</v>
      </c>
      <c r="AB7">
        <v>2</v>
      </c>
      <c r="AC7">
        <v>1</v>
      </c>
      <c r="AD7" t="s">
        <v>41</v>
      </c>
      <c r="AE7" t="s">
        <v>42</v>
      </c>
      <c r="AG7" t="s">
        <v>43</v>
      </c>
      <c r="AH7">
        <v>59.9952363698971</v>
      </c>
      <c r="AI7" t="s">
        <v>44</v>
      </c>
    </row>
    <row r="8" spans="1:35">
      <c r="A8" t="s">
        <v>35</v>
      </c>
      <c r="B8" t="s">
        <v>46</v>
      </c>
      <c r="C8" t="s">
        <v>37</v>
      </c>
      <c r="D8" t="s">
        <v>47</v>
      </c>
      <c r="E8">
        <v>6</v>
      </c>
      <c r="F8">
        <f t="shared" si="0"/>
        <v>1</v>
      </c>
      <c r="G8">
        <v>6</v>
      </c>
      <c r="H8">
        <v>0</v>
      </c>
      <c r="I8" t="s">
        <v>37</v>
      </c>
      <c r="J8">
        <v>2.8386932000285001</v>
      </c>
      <c r="K8" t="s">
        <v>40</v>
      </c>
      <c r="L8">
        <v>0</v>
      </c>
      <c r="M8">
        <v>6</v>
      </c>
      <c r="N8">
        <v>6</v>
      </c>
      <c r="O8">
        <v>4</v>
      </c>
      <c r="P8">
        <v>8.0116616000304894</v>
      </c>
      <c r="R8">
        <v>7.9970780999865303</v>
      </c>
      <c r="S8">
        <v>8.0116616000304894</v>
      </c>
      <c r="T8">
        <v>8.0116616000304894</v>
      </c>
      <c r="U8">
        <v>8.0116616000304894</v>
      </c>
      <c r="V8">
        <v>8.5114732999936606</v>
      </c>
      <c r="W8">
        <v>9.0115077000227704</v>
      </c>
      <c r="X8">
        <v>10.8614342000219</v>
      </c>
      <c r="Y8" t="s">
        <v>37</v>
      </c>
      <c r="Z8">
        <v>2.8386932000285001</v>
      </c>
      <c r="AA8" t="s">
        <v>40</v>
      </c>
      <c r="AB8">
        <v>2</v>
      </c>
      <c r="AC8">
        <v>1</v>
      </c>
      <c r="AD8" t="s">
        <v>41</v>
      </c>
      <c r="AE8" t="s">
        <v>42</v>
      </c>
      <c r="AG8" t="s">
        <v>43</v>
      </c>
      <c r="AH8">
        <v>59.9952363698971</v>
      </c>
      <c r="AI8" t="s">
        <v>44</v>
      </c>
    </row>
    <row r="9" spans="1:35">
      <c r="A9" t="s">
        <v>35</v>
      </c>
      <c r="B9" t="s">
        <v>36</v>
      </c>
      <c r="C9" t="s">
        <v>37</v>
      </c>
      <c r="D9" t="s">
        <v>38</v>
      </c>
      <c r="E9">
        <v>7</v>
      </c>
      <c r="F9">
        <f t="shared" si="0"/>
        <v>1</v>
      </c>
      <c r="G9">
        <v>7</v>
      </c>
      <c r="H9">
        <v>0</v>
      </c>
      <c r="I9" t="s">
        <v>37</v>
      </c>
      <c r="J9">
        <v>0.61173190001863897</v>
      </c>
      <c r="K9" t="s">
        <v>40</v>
      </c>
      <c r="L9">
        <v>0</v>
      </c>
      <c r="M9">
        <v>7</v>
      </c>
      <c r="N9">
        <v>7</v>
      </c>
      <c r="O9">
        <v>9</v>
      </c>
      <c r="P9">
        <v>10.8773967000306</v>
      </c>
      <c r="R9">
        <v>10.8625461999909</v>
      </c>
      <c r="S9">
        <v>10.8773967000306</v>
      </c>
      <c r="T9">
        <v>10.8773967000306</v>
      </c>
      <c r="U9">
        <v>10.8773967000306</v>
      </c>
      <c r="V9">
        <v>11.3773511999752</v>
      </c>
      <c r="X9">
        <v>11.494678599992699</v>
      </c>
      <c r="Y9" t="s">
        <v>37</v>
      </c>
      <c r="Z9">
        <v>0.61173190001863897</v>
      </c>
      <c r="AA9" t="s">
        <v>40</v>
      </c>
      <c r="AB9">
        <v>2</v>
      </c>
      <c r="AC9">
        <v>1</v>
      </c>
      <c r="AD9" t="s">
        <v>41</v>
      </c>
      <c r="AE9" t="s">
        <v>42</v>
      </c>
      <c r="AG9" t="s">
        <v>43</v>
      </c>
      <c r="AH9">
        <v>59.9952363698971</v>
      </c>
      <c r="AI9" t="s">
        <v>44</v>
      </c>
    </row>
    <row r="10" spans="1:35">
      <c r="A10" t="s">
        <v>35</v>
      </c>
      <c r="B10" t="s">
        <v>46</v>
      </c>
      <c r="C10" t="s">
        <v>37</v>
      </c>
      <c r="D10" t="s">
        <v>47</v>
      </c>
      <c r="E10">
        <v>8</v>
      </c>
      <c r="F10">
        <f t="shared" si="0"/>
        <v>1</v>
      </c>
      <c r="G10">
        <v>8</v>
      </c>
      <c r="H10">
        <v>0</v>
      </c>
      <c r="I10" t="s">
        <v>37</v>
      </c>
      <c r="J10">
        <v>0.480817700037732</v>
      </c>
      <c r="K10" t="s">
        <v>40</v>
      </c>
      <c r="L10">
        <v>0</v>
      </c>
      <c r="M10">
        <v>8</v>
      </c>
      <c r="N10">
        <v>8</v>
      </c>
      <c r="O10">
        <v>0</v>
      </c>
      <c r="P10">
        <v>11.510569999984</v>
      </c>
      <c r="R10">
        <v>11.4957773999776</v>
      </c>
      <c r="S10">
        <v>11.510569999984</v>
      </c>
      <c r="T10">
        <v>11.510569999984</v>
      </c>
      <c r="U10">
        <v>11.510569999984</v>
      </c>
      <c r="V10">
        <v>12.0104728000005</v>
      </c>
      <c r="X10">
        <v>11.994310299982301</v>
      </c>
      <c r="Y10" t="s">
        <v>37</v>
      </c>
      <c r="Z10">
        <v>0.480817700037732</v>
      </c>
      <c r="AA10" t="s">
        <v>40</v>
      </c>
      <c r="AB10">
        <v>2</v>
      </c>
      <c r="AC10">
        <v>1</v>
      </c>
      <c r="AD10" t="s">
        <v>41</v>
      </c>
      <c r="AE10" t="s">
        <v>42</v>
      </c>
      <c r="AG10" t="s">
        <v>43</v>
      </c>
      <c r="AH10">
        <v>59.9952363698971</v>
      </c>
      <c r="AI10" t="s">
        <v>44</v>
      </c>
    </row>
    <row r="11" spans="1:35">
      <c r="A11" t="s">
        <v>45</v>
      </c>
      <c r="B11" t="s">
        <v>36</v>
      </c>
      <c r="C11" t="s">
        <v>39</v>
      </c>
      <c r="D11" t="s">
        <v>47</v>
      </c>
      <c r="E11">
        <v>9</v>
      </c>
      <c r="F11">
        <f t="shared" si="0"/>
        <v>1</v>
      </c>
      <c r="G11">
        <v>9</v>
      </c>
      <c r="H11">
        <v>0</v>
      </c>
      <c r="I11" t="s">
        <v>39</v>
      </c>
      <c r="J11">
        <v>0.54358900000806898</v>
      </c>
      <c r="K11" t="s">
        <v>40</v>
      </c>
      <c r="L11">
        <v>0</v>
      </c>
      <c r="M11">
        <v>9</v>
      </c>
      <c r="N11">
        <v>9</v>
      </c>
      <c r="O11">
        <v>7</v>
      </c>
      <c r="P11">
        <v>12.0104728000005</v>
      </c>
      <c r="R11">
        <v>11.995415800018201</v>
      </c>
      <c r="S11">
        <v>12.0104728000005</v>
      </c>
      <c r="T11">
        <v>12.0104728000005</v>
      </c>
      <c r="U11">
        <v>12.0104728000005</v>
      </c>
      <c r="V11">
        <v>12.510423699975901</v>
      </c>
      <c r="X11">
        <v>12.560992099985</v>
      </c>
      <c r="Y11" t="s">
        <v>39</v>
      </c>
      <c r="Z11">
        <v>0.54358900000806898</v>
      </c>
      <c r="AA11" t="s">
        <v>40</v>
      </c>
      <c r="AB11">
        <v>2</v>
      </c>
      <c r="AC11">
        <v>1</v>
      </c>
      <c r="AD11" t="s">
        <v>41</v>
      </c>
      <c r="AE11" t="s">
        <v>42</v>
      </c>
      <c r="AG11" t="s">
        <v>43</v>
      </c>
      <c r="AH11">
        <v>59.9952363698971</v>
      </c>
      <c r="AI11" t="s">
        <v>44</v>
      </c>
    </row>
    <row r="12" spans="1:35">
      <c r="A12" t="s">
        <v>35</v>
      </c>
      <c r="B12" t="s">
        <v>36</v>
      </c>
      <c r="C12" t="s">
        <v>37</v>
      </c>
      <c r="D12" t="s">
        <v>38</v>
      </c>
      <c r="E12">
        <v>10</v>
      </c>
      <c r="F12">
        <f t="shared" si="0"/>
        <v>1</v>
      </c>
      <c r="G12">
        <v>0</v>
      </c>
      <c r="H12">
        <v>1</v>
      </c>
      <c r="I12" t="s">
        <v>37</v>
      </c>
      <c r="J12">
        <v>0.58429779997095399</v>
      </c>
      <c r="K12" t="s">
        <v>40</v>
      </c>
      <c r="L12">
        <v>1</v>
      </c>
      <c r="M12">
        <v>0</v>
      </c>
      <c r="N12">
        <v>10</v>
      </c>
      <c r="O12">
        <v>5</v>
      </c>
      <c r="P12">
        <v>12.5768177999998</v>
      </c>
      <c r="R12">
        <v>12.562088400008999</v>
      </c>
      <c r="S12">
        <v>12.5768177999998</v>
      </c>
      <c r="T12">
        <v>12.5768177999998</v>
      </c>
      <c r="U12">
        <v>12.5768177999998</v>
      </c>
      <c r="V12">
        <v>13.0767616999801</v>
      </c>
      <c r="X12">
        <v>13.1771920000319</v>
      </c>
      <c r="Y12" t="s">
        <v>37</v>
      </c>
      <c r="Z12">
        <v>0.58429779997095399</v>
      </c>
      <c r="AA12" t="s">
        <v>40</v>
      </c>
      <c r="AB12">
        <v>2</v>
      </c>
      <c r="AC12">
        <v>1</v>
      </c>
      <c r="AD12" t="s">
        <v>41</v>
      </c>
      <c r="AE12" t="s">
        <v>42</v>
      </c>
      <c r="AG12" t="s">
        <v>43</v>
      </c>
      <c r="AH12">
        <v>59.9952363698971</v>
      </c>
      <c r="AI12" t="s">
        <v>44</v>
      </c>
    </row>
    <row r="13" spans="1:35">
      <c r="A13" t="s">
        <v>35</v>
      </c>
      <c r="B13" t="s">
        <v>46</v>
      </c>
      <c r="C13" t="s">
        <v>37</v>
      </c>
      <c r="D13" t="s">
        <v>47</v>
      </c>
      <c r="E13">
        <v>11</v>
      </c>
      <c r="F13">
        <f t="shared" si="0"/>
        <v>1</v>
      </c>
      <c r="G13">
        <v>1</v>
      </c>
      <c r="H13">
        <v>1</v>
      </c>
      <c r="I13" t="s">
        <v>37</v>
      </c>
      <c r="J13">
        <v>0.54199820000212595</v>
      </c>
      <c r="K13" t="s">
        <v>40</v>
      </c>
      <c r="L13">
        <v>1</v>
      </c>
      <c r="M13">
        <v>1</v>
      </c>
      <c r="N13">
        <v>11</v>
      </c>
      <c r="O13">
        <v>4</v>
      </c>
      <c r="P13">
        <v>13.1933102000039</v>
      </c>
      <c r="R13">
        <v>13.178030100010799</v>
      </c>
      <c r="S13">
        <v>13.1933102000039</v>
      </c>
      <c r="T13">
        <v>13.1933102000039</v>
      </c>
      <c r="U13">
        <v>13.1933102000039</v>
      </c>
      <c r="V13">
        <v>13.6933060000301</v>
      </c>
      <c r="X13">
        <v>13.7438302999944</v>
      </c>
      <c r="Y13" t="s">
        <v>37</v>
      </c>
      <c r="Z13">
        <v>0.54199820000212595</v>
      </c>
      <c r="AA13" t="s">
        <v>40</v>
      </c>
      <c r="AB13">
        <v>2</v>
      </c>
      <c r="AC13">
        <v>1</v>
      </c>
      <c r="AD13" t="s">
        <v>41</v>
      </c>
      <c r="AE13" t="s">
        <v>42</v>
      </c>
      <c r="AG13" t="s">
        <v>43</v>
      </c>
      <c r="AH13">
        <v>59.9952363698971</v>
      </c>
      <c r="AI13" t="s">
        <v>44</v>
      </c>
    </row>
    <row r="14" spans="1:35">
      <c r="A14" t="s">
        <v>45</v>
      </c>
      <c r="B14" t="s">
        <v>46</v>
      </c>
      <c r="C14" t="s">
        <v>39</v>
      </c>
      <c r="D14" t="s">
        <v>38</v>
      </c>
      <c r="E14">
        <v>12</v>
      </c>
      <c r="F14">
        <f t="shared" si="0"/>
        <v>1</v>
      </c>
      <c r="G14">
        <v>2</v>
      </c>
      <c r="H14">
        <v>1</v>
      </c>
      <c r="I14" t="s">
        <v>39</v>
      </c>
      <c r="J14">
        <v>0.53624200000194799</v>
      </c>
      <c r="K14" t="s">
        <v>40</v>
      </c>
      <c r="L14">
        <v>1</v>
      </c>
      <c r="M14">
        <v>2</v>
      </c>
      <c r="N14">
        <v>12</v>
      </c>
      <c r="O14">
        <v>6</v>
      </c>
      <c r="P14">
        <v>13.7597485000151</v>
      </c>
      <c r="R14">
        <v>13.7449476000037</v>
      </c>
      <c r="S14">
        <v>13.7597485000151</v>
      </c>
      <c r="T14">
        <v>13.7597485000151</v>
      </c>
      <c r="U14">
        <v>13.7597485000151</v>
      </c>
      <c r="V14">
        <v>14.259654699999301</v>
      </c>
      <c r="X14">
        <v>14.310096699977199</v>
      </c>
      <c r="Y14" t="s">
        <v>39</v>
      </c>
      <c r="Z14">
        <v>0.53624200000194799</v>
      </c>
      <c r="AA14" t="s">
        <v>40</v>
      </c>
      <c r="AB14">
        <v>2</v>
      </c>
      <c r="AC14">
        <v>1</v>
      </c>
      <c r="AD14" t="s">
        <v>41</v>
      </c>
      <c r="AE14" t="s">
        <v>42</v>
      </c>
      <c r="AG14" t="s">
        <v>43</v>
      </c>
      <c r="AH14">
        <v>59.9952363698971</v>
      </c>
      <c r="AI14" t="s">
        <v>44</v>
      </c>
    </row>
    <row r="15" spans="1:35">
      <c r="A15" t="s">
        <v>35</v>
      </c>
      <c r="B15" t="s">
        <v>46</v>
      </c>
      <c r="C15" t="s">
        <v>37</v>
      </c>
      <c r="D15" t="s">
        <v>47</v>
      </c>
      <c r="E15">
        <v>13</v>
      </c>
      <c r="F15">
        <f t="shared" si="0"/>
        <v>1</v>
      </c>
      <c r="G15">
        <v>3</v>
      </c>
      <c r="H15">
        <v>1</v>
      </c>
      <c r="I15" t="s">
        <v>37</v>
      </c>
      <c r="J15">
        <v>0.81457159999990802</v>
      </c>
      <c r="K15" t="s">
        <v>40</v>
      </c>
      <c r="L15">
        <v>1</v>
      </c>
      <c r="M15">
        <v>3</v>
      </c>
      <c r="N15">
        <v>13</v>
      </c>
      <c r="O15">
        <v>8</v>
      </c>
      <c r="P15">
        <v>14.326009100012</v>
      </c>
      <c r="R15">
        <v>14.3111131999758</v>
      </c>
      <c r="S15">
        <v>14.326009100012</v>
      </c>
      <c r="T15">
        <v>14.326009100012</v>
      </c>
      <c r="U15">
        <v>14.326009100012</v>
      </c>
      <c r="V15">
        <v>14.8262565999757</v>
      </c>
      <c r="X15">
        <v>15.1432153999921</v>
      </c>
      <c r="Y15" t="s">
        <v>37</v>
      </c>
      <c r="Z15">
        <v>0.81457159999990802</v>
      </c>
      <c r="AA15" t="s">
        <v>40</v>
      </c>
      <c r="AB15">
        <v>2</v>
      </c>
      <c r="AC15">
        <v>1</v>
      </c>
      <c r="AD15" t="s">
        <v>41</v>
      </c>
      <c r="AE15" t="s">
        <v>42</v>
      </c>
      <c r="AG15" t="s">
        <v>43</v>
      </c>
      <c r="AH15">
        <v>59.9952363698971</v>
      </c>
      <c r="AI15" t="s">
        <v>44</v>
      </c>
    </row>
    <row r="16" spans="1:35">
      <c r="A16" t="s">
        <v>45</v>
      </c>
      <c r="B16" t="s">
        <v>36</v>
      </c>
      <c r="C16" t="s">
        <v>39</v>
      </c>
      <c r="D16" t="s">
        <v>47</v>
      </c>
      <c r="E16">
        <v>14</v>
      </c>
      <c r="F16">
        <f t="shared" si="0"/>
        <v>1</v>
      </c>
      <c r="G16">
        <v>4</v>
      </c>
      <c r="H16">
        <v>1</v>
      </c>
      <c r="I16" t="s">
        <v>39</v>
      </c>
      <c r="J16">
        <v>0.67378249997272999</v>
      </c>
      <c r="K16" t="s">
        <v>40</v>
      </c>
      <c r="L16">
        <v>1</v>
      </c>
      <c r="M16">
        <v>4</v>
      </c>
      <c r="N16">
        <v>14</v>
      </c>
      <c r="O16">
        <v>3</v>
      </c>
      <c r="P16">
        <v>15.159493700019</v>
      </c>
      <c r="R16">
        <v>15.14412240003</v>
      </c>
      <c r="S16">
        <v>15.159493700019</v>
      </c>
      <c r="T16">
        <v>15.159493700019</v>
      </c>
      <c r="U16">
        <v>15.159493700019</v>
      </c>
      <c r="V16">
        <v>15.659329599991899</v>
      </c>
      <c r="X16">
        <v>15.8430634000105</v>
      </c>
      <c r="Y16" t="s">
        <v>39</v>
      </c>
      <c r="Z16">
        <v>0.67378249997272999</v>
      </c>
      <c r="AA16" t="s">
        <v>40</v>
      </c>
      <c r="AB16">
        <v>2</v>
      </c>
      <c r="AC16">
        <v>1</v>
      </c>
      <c r="AD16" t="s">
        <v>41</v>
      </c>
      <c r="AE16" t="s">
        <v>42</v>
      </c>
      <c r="AG16" t="s">
        <v>43</v>
      </c>
      <c r="AH16">
        <v>59.9952363698971</v>
      </c>
      <c r="AI16" t="s">
        <v>44</v>
      </c>
    </row>
    <row r="17" spans="1:35">
      <c r="A17" t="s">
        <v>35</v>
      </c>
      <c r="B17" t="s">
        <v>36</v>
      </c>
      <c r="C17" t="s">
        <v>37</v>
      </c>
      <c r="D17" t="s">
        <v>38</v>
      </c>
      <c r="E17">
        <v>15</v>
      </c>
      <c r="F17">
        <f t="shared" si="0"/>
        <v>1</v>
      </c>
      <c r="G17">
        <v>5</v>
      </c>
      <c r="H17">
        <v>1</v>
      </c>
      <c r="I17" t="s">
        <v>37</v>
      </c>
      <c r="J17">
        <v>0.63759939995361403</v>
      </c>
      <c r="K17" t="s">
        <v>40</v>
      </c>
      <c r="L17">
        <v>1</v>
      </c>
      <c r="M17">
        <v>5</v>
      </c>
      <c r="N17">
        <v>15</v>
      </c>
      <c r="O17">
        <v>9</v>
      </c>
      <c r="P17">
        <v>15.858827800024301</v>
      </c>
      <c r="R17">
        <v>15.8440696999896</v>
      </c>
      <c r="S17">
        <v>15.858827800024301</v>
      </c>
      <c r="T17">
        <v>15.858827800024301</v>
      </c>
      <c r="U17">
        <v>15.858827800024301</v>
      </c>
      <c r="V17">
        <v>16.359008900006302</v>
      </c>
      <c r="X17">
        <v>16.509556400007501</v>
      </c>
      <c r="Y17" t="s">
        <v>37</v>
      </c>
      <c r="Z17">
        <v>0.63759939995361403</v>
      </c>
      <c r="AA17" t="s">
        <v>40</v>
      </c>
      <c r="AB17">
        <v>2</v>
      </c>
      <c r="AC17">
        <v>1</v>
      </c>
      <c r="AD17" t="s">
        <v>41</v>
      </c>
      <c r="AE17" t="s">
        <v>42</v>
      </c>
      <c r="AG17" t="s">
        <v>43</v>
      </c>
      <c r="AH17">
        <v>59.9952363698971</v>
      </c>
      <c r="AI17" t="s">
        <v>44</v>
      </c>
    </row>
    <row r="18" spans="1:35">
      <c r="A18" t="s">
        <v>35</v>
      </c>
      <c r="B18" t="s">
        <v>36</v>
      </c>
      <c r="C18" t="s">
        <v>37</v>
      </c>
      <c r="D18" t="s">
        <v>38</v>
      </c>
      <c r="E18">
        <v>16</v>
      </c>
      <c r="F18">
        <f t="shared" si="0"/>
        <v>1</v>
      </c>
      <c r="G18">
        <v>6</v>
      </c>
      <c r="H18">
        <v>1</v>
      </c>
      <c r="I18" t="s">
        <v>37</v>
      </c>
      <c r="J18">
        <v>2.0705725000006998</v>
      </c>
      <c r="K18" t="s">
        <v>40</v>
      </c>
      <c r="L18">
        <v>1</v>
      </c>
      <c r="M18">
        <v>6</v>
      </c>
      <c r="N18">
        <v>16</v>
      </c>
      <c r="O18">
        <v>1</v>
      </c>
      <c r="P18">
        <v>16.525464500009502</v>
      </c>
      <c r="R18">
        <v>16.510683999978902</v>
      </c>
      <c r="S18">
        <v>16.525464500009502</v>
      </c>
      <c r="T18">
        <v>16.525464500009502</v>
      </c>
      <c r="U18">
        <v>16.525464500009502</v>
      </c>
      <c r="V18">
        <v>17.025267400022098</v>
      </c>
      <c r="W18">
        <v>17.525110299990001</v>
      </c>
      <c r="X18">
        <v>18.608721800032001</v>
      </c>
      <c r="Y18" t="s">
        <v>37</v>
      </c>
      <c r="Z18">
        <v>2.0705725000006998</v>
      </c>
      <c r="AA18" t="s">
        <v>40</v>
      </c>
      <c r="AB18">
        <v>2</v>
      </c>
      <c r="AC18">
        <v>1</v>
      </c>
      <c r="AD18" t="s">
        <v>41</v>
      </c>
      <c r="AE18" t="s">
        <v>42</v>
      </c>
      <c r="AG18" t="s">
        <v>43</v>
      </c>
      <c r="AH18">
        <v>59.9952363698971</v>
      </c>
      <c r="AI18" t="s">
        <v>44</v>
      </c>
    </row>
    <row r="19" spans="1:35">
      <c r="A19" t="s">
        <v>45</v>
      </c>
      <c r="B19" t="s">
        <v>36</v>
      </c>
      <c r="C19" t="s">
        <v>39</v>
      </c>
      <c r="D19" t="s">
        <v>47</v>
      </c>
      <c r="E19">
        <v>17</v>
      </c>
      <c r="F19">
        <f t="shared" si="0"/>
        <v>1</v>
      </c>
      <c r="G19">
        <v>7</v>
      </c>
      <c r="H19">
        <v>1</v>
      </c>
      <c r="I19" t="s">
        <v>39</v>
      </c>
      <c r="J19">
        <v>0.73172569996677295</v>
      </c>
      <c r="K19" t="s">
        <v>40</v>
      </c>
      <c r="L19">
        <v>1</v>
      </c>
      <c r="M19">
        <v>7</v>
      </c>
      <c r="N19">
        <v>17</v>
      </c>
      <c r="O19">
        <v>7</v>
      </c>
      <c r="P19">
        <v>18.624554899986801</v>
      </c>
      <c r="R19">
        <v>18.6097575000021</v>
      </c>
      <c r="S19">
        <v>18.624554899986801</v>
      </c>
      <c r="T19">
        <v>18.624554899986801</v>
      </c>
      <c r="U19">
        <v>18.624554899986801</v>
      </c>
      <c r="V19">
        <v>19.1244933999842</v>
      </c>
      <c r="X19">
        <v>19.358453900029399</v>
      </c>
      <c r="Y19" t="s">
        <v>39</v>
      </c>
      <c r="Z19">
        <v>0.73172569996677295</v>
      </c>
      <c r="AA19" t="s">
        <v>40</v>
      </c>
      <c r="AB19">
        <v>2</v>
      </c>
      <c r="AC19">
        <v>1</v>
      </c>
      <c r="AD19" t="s">
        <v>41</v>
      </c>
      <c r="AE19" t="s">
        <v>42</v>
      </c>
      <c r="AG19" t="s">
        <v>43</v>
      </c>
      <c r="AH19">
        <v>59.9952363698971</v>
      </c>
      <c r="AI19" t="s">
        <v>44</v>
      </c>
    </row>
    <row r="20" spans="1:35">
      <c r="A20" t="s">
        <v>45</v>
      </c>
      <c r="B20" t="s">
        <v>46</v>
      </c>
      <c r="C20" t="s">
        <v>39</v>
      </c>
      <c r="D20" t="s">
        <v>38</v>
      </c>
      <c r="E20">
        <v>18</v>
      </c>
      <c r="F20">
        <f t="shared" si="0"/>
        <v>1</v>
      </c>
      <c r="G20">
        <v>8</v>
      </c>
      <c r="H20">
        <v>1</v>
      </c>
      <c r="I20" t="s">
        <v>39</v>
      </c>
      <c r="J20">
        <v>0.832455100025981</v>
      </c>
      <c r="K20" t="s">
        <v>40</v>
      </c>
      <c r="L20">
        <v>1</v>
      </c>
      <c r="M20">
        <v>8</v>
      </c>
      <c r="N20">
        <v>18</v>
      </c>
      <c r="O20">
        <v>2</v>
      </c>
      <c r="P20">
        <v>19.374377799977001</v>
      </c>
      <c r="R20">
        <v>19.3595740000018</v>
      </c>
      <c r="S20">
        <v>19.374377799977001</v>
      </c>
      <c r="T20">
        <v>19.374377799977001</v>
      </c>
      <c r="U20">
        <v>19.374377799977001</v>
      </c>
      <c r="V20">
        <v>19.874235299997899</v>
      </c>
      <c r="X20">
        <v>20.208175499981699</v>
      </c>
      <c r="Y20" t="s">
        <v>39</v>
      </c>
      <c r="Z20">
        <v>0.832455100025981</v>
      </c>
      <c r="AA20" t="s">
        <v>40</v>
      </c>
      <c r="AB20">
        <v>2</v>
      </c>
      <c r="AC20">
        <v>1</v>
      </c>
      <c r="AD20" t="s">
        <v>41</v>
      </c>
      <c r="AE20" t="s">
        <v>42</v>
      </c>
      <c r="AG20" t="s">
        <v>43</v>
      </c>
      <c r="AH20">
        <v>59.9952363698971</v>
      </c>
      <c r="AI20" t="s">
        <v>44</v>
      </c>
    </row>
    <row r="21" spans="1:35">
      <c r="A21" t="s">
        <v>35</v>
      </c>
      <c r="B21" t="s">
        <v>46</v>
      </c>
      <c r="C21" t="s">
        <v>37</v>
      </c>
      <c r="D21" t="s">
        <v>47</v>
      </c>
      <c r="E21">
        <v>19</v>
      </c>
      <c r="F21">
        <f t="shared" si="0"/>
        <v>1</v>
      </c>
      <c r="G21">
        <v>9</v>
      </c>
      <c r="H21">
        <v>1</v>
      </c>
      <c r="I21" t="s">
        <v>37</v>
      </c>
      <c r="J21">
        <v>1.0043604000238699</v>
      </c>
      <c r="K21" t="s">
        <v>40</v>
      </c>
      <c r="L21">
        <v>1</v>
      </c>
      <c r="M21">
        <v>9</v>
      </c>
      <c r="N21">
        <v>19</v>
      </c>
      <c r="O21">
        <v>0</v>
      </c>
      <c r="P21">
        <v>20.224399700004099</v>
      </c>
      <c r="R21">
        <v>20.2092534999828</v>
      </c>
      <c r="S21">
        <v>20.224399700004099</v>
      </c>
      <c r="T21">
        <v>20.224399700004099</v>
      </c>
      <c r="U21">
        <v>20.224399700004099</v>
      </c>
      <c r="V21">
        <v>20.7239986999775</v>
      </c>
      <c r="W21">
        <v>21.224026500014499</v>
      </c>
      <c r="X21">
        <v>21.241288200020701</v>
      </c>
      <c r="Y21" t="s">
        <v>37</v>
      </c>
      <c r="Z21">
        <v>1.0043604000238699</v>
      </c>
      <c r="AA21" t="s">
        <v>40</v>
      </c>
      <c r="AB21">
        <v>2</v>
      </c>
      <c r="AC21">
        <v>1</v>
      </c>
      <c r="AD21" t="s">
        <v>41</v>
      </c>
      <c r="AE21" t="s">
        <v>42</v>
      </c>
      <c r="AG21" t="s">
        <v>43</v>
      </c>
      <c r="AH21">
        <v>59.9952363698971</v>
      </c>
      <c r="AI21" t="s">
        <v>44</v>
      </c>
    </row>
    <row r="22" spans="1:35">
      <c r="A22" t="s">
        <v>45</v>
      </c>
      <c r="B22" t="s">
        <v>36</v>
      </c>
      <c r="C22" t="s">
        <v>39</v>
      </c>
      <c r="D22" t="s">
        <v>47</v>
      </c>
      <c r="E22">
        <v>20</v>
      </c>
      <c r="F22">
        <f t="shared" si="0"/>
        <v>1</v>
      </c>
      <c r="G22">
        <v>0</v>
      </c>
      <c r="H22">
        <v>2</v>
      </c>
      <c r="I22" t="s">
        <v>39</v>
      </c>
      <c r="J22">
        <v>0.86609790002694298</v>
      </c>
      <c r="K22" t="s">
        <v>40</v>
      </c>
      <c r="L22">
        <v>2</v>
      </c>
      <c r="M22">
        <v>0</v>
      </c>
      <c r="N22">
        <v>20</v>
      </c>
      <c r="O22">
        <v>7</v>
      </c>
      <c r="P22">
        <v>21.257248300011199</v>
      </c>
      <c r="R22">
        <v>21.242457400017798</v>
      </c>
      <c r="S22">
        <v>21.257248300011199</v>
      </c>
      <c r="T22">
        <v>21.257248300011199</v>
      </c>
      <c r="U22">
        <v>21.257248300011199</v>
      </c>
      <c r="V22">
        <v>21.756837900029399</v>
      </c>
      <c r="X22">
        <v>22.124276000016799</v>
      </c>
      <c r="Y22" t="s">
        <v>39</v>
      </c>
      <c r="Z22">
        <v>0.86609790002694298</v>
      </c>
      <c r="AA22" t="s">
        <v>40</v>
      </c>
      <c r="AB22">
        <v>2</v>
      </c>
      <c r="AC22">
        <v>1</v>
      </c>
      <c r="AD22" t="s">
        <v>41</v>
      </c>
      <c r="AE22" t="s">
        <v>42</v>
      </c>
      <c r="AG22" t="s">
        <v>43</v>
      </c>
      <c r="AH22">
        <v>59.9952363698971</v>
      </c>
      <c r="AI22" t="s">
        <v>44</v>
      </c>
    </row>
    <row r="23" spans="1:35">
      <c r="A23" t="s">
        <v>45</v>
      </c>
      <c r="B23" t="s">
        <v>46</v>
      </c>
      <c r="C23" t="s">
        <v>39</v>
      </c>
      <c r="D23" t="s">
        <v>38</v>
      </c>
      <c r="E23">
        <v>21</v>
      </c>
      <c r="F23">
        <f t="shared" si="0"/>
        <v>1</v>
      </c>
      <c r="G23">
        <v>1</v>
      </c>
      <c r="H23">
        <v>2</v>
      </c>
      <c r="I23" t="s">
        <v>39</v>
      </c>
      <c r="J23">
        <v>0.91892079997342002</v>
      </c>
      <c r="K23" t="s">
        <v>40</v>
      </c>
      <c r="L23">
        <v>2</v>
      </c>
      <c r="M23">
        <v>1</v>
      </c>
      <c r="N23">
        <v>21</v>
      </c>
      <c r="O23">
        <v>6</v>
      </c>
      <c r="P23">
        <v>22.140378599986398</v>
      </c>
      <c r="R23">
        <v>22.1253913000109</v>
      </c>
      <c r="S23">
        <v>22.140378599986398</v>
      </c>
      <c r="T23">
        <v>22.140378599986398</v>
      </c>
      <c r="U23">
        <v>22.140378599986398</v>
      </c>
      <c r="V23">
        <v>22.6402639999869</v>
      </c>
      <c r="X23">
        <v>23.074124999984601</v>
      </c>
      <c r="Y23" t="s">
        <v>39</v>
      </c>
      <c r="Z23">
        <v>0.91892079997342002</v>
      </c>
      <c r="AA23" t="s">
        <v>40</v>
      </c>
      <c r="AB23">
        <v>2</v>
      </c>
      <c r="AC23">
        <v>1</v>
      </c>
      <c r="AD23" t="s">
        <v>41</v>
      </c>
      <c r="AE23" t="s">
        <v>42</v>
      </c>
      <c r="AG23" t="s">
        <v>43</v>
      </c>
      <c r="AH23">
        <v>59.9952363698971</v>
      </c>
      <c r="AI23" t="s">
        <v>44</v>
      </c>
    </row>
    <row r="24" spans="1:35">
      <c r="A24" t="s">
        <v>35</v>
      </c>
      <c r="B24" t="s">
        <v>36</v>
      </c>
      <c r="C24" t="s">
        <v>37</v>
      </c>
      <c r="D24" t="s">
        <v>38</v>
      </c>
      <c r="E24">
        <v>22</v>
      </c>
      <c r="F24">
        <f t="shared" si="0"/>
        <v>1</v>
      </c>
      <c r="G24">
        <v>2</v>
      </c>
      <c r="H24">
        <v>2</v>
      </c>
      <c r="I24" t="s">
        <v>37</v>
      </c>
      <c r="J24">
        <v>0.92030639998847596</v>
      </c>
      <c r="K24" t="s">
        <v>40</v>
      </c>
      <c r="L24">
        <v>2</v>
      </c>
      <c r="M24">
        <v>2</v>
      </c>
      <c r="N24">
        <v>22</v>
      </c>
      <c r="O24">
        <v>9</v>
      </c>
      <c r="P24">
        <v>23.0898958999896</v>
      </c>
      <c r="R24">
        <v>23.0752080000238</v>
      </c>
      <c r="S24">
        <v>23.0898958999896</v>
      </c>
      <c r="T24">
        <v>23.0898958999896</v>
      </c>
      <c r="U24">
        <v>23.0898958999896</v>
      </c>
      <c r="V24">
        <v>23.589916300028499</v>
      </c>
      <c r="X24">
        <v>24.023164800019</v>
      </c>
      <c r="Y24" t="s">
        <v>37</v>
      </c>
      <c r="Z24">
        <v>0.92030639998847596</v>
      </c>
      <c r="AA24" t="s">
        <v>40</v>
      </c>
      <c r="AB24">
        <v>2</v>
      </c>
      <c r="AC24">
        <v>1</v>
      </c>
      <c r="AD24" t="s">
        <v>41</v>
      </c>
      <c r="AE24" t="s">
        <v>42</v>
      </c>
      <c r="AG24" t="s">
        <v>43</v>
      </c>
      <c r="AH24">
        <v>59.9952363698971</v>
      </c>
      <c r="AI24" t="s">
        <v>44</v>
      </c>
    </row>
    <row r="25" spans="1:35">
      <c r="A25" t="s">
        <v>45</v>
      </c>
      <c r="B25" t="s">
        <v>36</v>
      </c>
      <c r="C25" t="s">
        <v>39</v>
      </c>
      <c r="D25" t="s">
        <v>47</v>
      </c>
      <c r="E25">
        <v>23</v>
      </c>
      <c r="F25">
        <f t="shared" si="0"/>
        <v>1</v>
      </c>
      <c r="G25">
        <v>3</v>
      </c>
      <c r="H25">
        <v>2</v>
      </c>
      <c r="I25" t="s">
        <v>39</v>
      </c>
      <c r="J25">
        <v>0.75474920001579404</v>
      </c>
      <c r="K25" t="s">
        <v>40</v>
      </c>
      <c r="L25">
        <v>2</v>
      </c>
      <c r="M25">
        <v>3</v>
      </c>
      <c r="N25">
        <v>23</v>
      </c>
      <c r="O25">
        <v>3</v>
      </c>
      <c r="P25">
        <v>24.0395106999785</v>
      </c>
      <c r="R25">
        <v>24.023678500030599</v>
      </c>
      <c r="S25">
        <v>24.0395106999785</v>
      </c>
      <c r="T25">
        <v>24.0395106999785</v>
      </c>
      <c r="U25">
        <v>24.0395106999785</v>
      </c>
      <c r="V25">
        <v>24.539616800029702</v>
      </c>
      <c r="X25">
        <v>24.806729600008101</v>
      </c>
      <c r="Y25" t="s">
        <v>39</v>
      </c>
      <c r="Z25">
        <v>0.75474920001579404</v>
      </c>
      <c r="AA25" t="s">
        <v>40</v>
      </c>
      <c r="AB25">
        <v>2</v>
      </c>
      <c r="AC25">
        <v>1</v>
      </c>
      <c r="AD25" t="s">
        <v>41</v>
      </c>
      <c r="AE25" t="s">
        <v>42</v>
      </c>
      <c r="AG25" t="s">
        <v>43</v>
      </c>
      <c r="AH25">
        <v>59.9952363698971</v>
      </c>
      <c r="AI25" t="s">
        <v>44</v>
      </c>
    </row>
    <row r="26" spans="1:35">
      <c r="A26" t="s">
        <v>45</v>
      </c>
      <c r="B26" t="s">
        <v>46</v>
      </c>
      <c r="C26" t="s">
        <v>39</v>
      </c>
      <c r="D26" t="s">
        <v>38</v>
      </c>
      <c r="E26">
        <v>24</v>
      </c>
      <c r="F26">
        <f t="shared" si="0"/>
        <v>1</v>
      </c>
      <c r="G26">
        <v>4</v>
      </c>
      <c r="H26">
        <v>2</v>
      </c>
      <c r="I26" t="s">
        <v>39</v>
      </c>
      <c r="J26">
        <v>1.1741893000435</v>
      </c>
      <c r="K26" t="s">
        <v>40</v>
      </c>
      <c r="L26">
        <v>2</v>
      </c>
      <c r="M26">
        <v>4</v>
      </c>
      <c r="N26">
        <v>24</v>
      </c>
      <c r="O26">
        <v>2</v>
      </c>
      <c r="P26">
        <v>24.8228836000198</v>
      </c>
      <c r="R26">
        <v>24.807761100004399</v>
      </c>
      <c r="S26">
        <v>24.8228836000198</v>
      </c>
      <c r="T26">
        <v>24.8228836000198</v>
      </c>
      <c r="U26">
        <v>24.8228836000198</v>
      </c>
      <c r="V26">
        <v>25.322545900009501</v>
      </c>
      <c r="W26">
        <v>25.822478400019399</v>
      </c>
      <c r="X26">
        <v>26.006328899995399</v>
      </c>
      <c r="Y26" t="s">
        <v>39</v>
      </c>
      <c r="Z26">
        <v>1.1741893000435</v>
      </c>
      <c r="AA26" t="s">
        <v>40</v>
      </c>
      <c r="AB26">
        <v>2</v>
      </c>
      <c r="AC26">
        <v>1</v>
      </c>
      <c r="AD26" t="s">
        <v>41</v>
      </c>
      <c r="AE26" t="s">
        <v>42</v>
      </c>
      <c r="AG26" t="s">
        <v>43</v>
      </c>
      <c r="AH26">
        <v>59.9952363698971</v>
      </c>
      <c r="AI26" t="s">
        <v>44</v>
      </c>
    </row>
    <row r="27" spans="1:35">
      <c r="A27" t="s">
        <v>35</v>
      </c>
      <c r="B27" t="s">
        <v>36</v>
      </c>
      <c r="C27" t="s">
        <v>37</v>
      </c>
      <c r="D27" t="s">
        <v>38</v>
      </c>
      <c r="E27">
        <v>25</v>
      </c>
      <c r="F27">
        <f t="shared" si="0"/>
        <v>1</v>
      </c>
      <c r="G27">
        <v>5</v>
      </c>
      <c r="H27">
        <v>2</v>
      </c>
      <c r="I27" t="s">
        <v>37</v>
      </c>
      <c r="J27">
        <v>0.91374430002178997</v>
      </c>
      <c r="K27" t="s">
        <v>40</v>
      </c>
      <c r="L27">
        <v>2</v>
      </c>
      <c r="M27">
        <v>5</v>
      </c>
      <c r="N27">
        <v>25</v>
      </c>
      <c r="O27">
        <v>1</v>
      </c>
      <c r="P27">
        <v>26.0222708000219</v>
      </c>
      <c r="R27">
        <v>26.007711699989098</v>
      </c>
      <c r="S27">
        <v>26.0222708000219</v>
      </c>
      <c r="T27">
        <v>26.0222708000219</v>
      </c>
      <c r="U27">
        <v>26.0222708000219</v>
      </c>
      <c r="V27">
        <v>26.522310899977999</v>
      </c>
      <c r="X27">
        <v>26.9393933999817</v>
      </c>
      <c r="Y27" t="s">
        <v>37</v>
      </c>
      <c r="Z27">
        <v>0.91374430002178997</v>
      </c>
      <c r="AA27" t="s">
        <v>40</v>
      </c>
      <c r="AB27">
        <v>2</v>
      </c>
      <c r="AC27">
        <v>1</v>
      </c>
      <c r="AD27" t="s">
        <v>41</v>
      </c>
      <c r="AE27" t="s">
        <v>42</v>
      </c>
      <c r="AG27" t="s">
        <v>43</v>
      </c>
      <c r="AH27">
        <v>59.9952363698971</v>
      </c>
      <c r="AI27" t="s">
        <v>44</v>
      </c>
    </row>
    <row r="28" spans="1:35">
      <c r="A28" t="s">
        <v>35</v>
      </c>
      <c r="B28" t="s">
        <v>46</v>
      </c>
      <c r="C28" t="s">
        <v>37</v>
      </c>
      <c r="D28" t="s">
        <v>47</v>
      </c>
      <c r="E28">
        <v>26</v>
      </c>
      <c r="F28">
        <f t="shared" si="0"/>
        <v>1</v>
      </c>
      <c r="G28">
        <v>6</v>
      </c>
      <c r="H28">
        <v>2</v>
      </c>
      <c r="I28" t="s">
        <v>37</v>
      </c>
      <c r="J28">
        <v>1.0890523000271</v>
      </c>
      <c r="K28" t="s">
        <v>40</v>
      </c>
      <c r="L28">
        <v>2</v>
      </c>
      <c r="M28">
        <v>6</v>
      </c>
      <c r="N28">
        <v>26</v>
      </c>
      <c r="O28">
        <v>4</v>
      </c>
      <c r="P28">
        <v>26.955375200020999</v>
      </c>
      <c r="R28">
        <v>26.940546200028599</v>
      </c>
      <c r="S28">
        <v>26.955375200020999</v>
      </c>
      <c r="T28">
        <v>26.955375200020999</v>
      </c>
      <c r="U28">
        <v>26.955375200020999</v>
      </c>
      <c r="V28">
        <v>27.4550910000107</v>
      </c>
      <c r="W28">
        <v>27.9550026999786</v>
      </c>
      <c r="X28">
        <v>28.055532999977</v>
      </c>
      <c r="Y28" t="s">
        <v>37</v>
      </c>
      <c r="Z28">
        <v>1.0890523000271</v>
      </c>
      <c r="AA28" t="s">
        <v>40</v>
      </c>
      <c r="AB28">
        <v>2</v>
      </c>
      <c r="AC28">
        <v>1</v>
      </c>
      <c r="AD28" t="s">
        <v>41</v>
      </c>
      <c r="AE28" t="s">
        <v>42</v>
      </c>
      <c r="AG28" t="s">
        <v>43</v>
      </c>
      <c r="AH28">
        <v>59.9952363698971</v>
      </c>
      <c r="AI28" t="s">
        <v>44</v>
      </c>
    </row>
    <row r="29" spans="1:35">
      <c r="A29" t="s">
        <v>35</v>
      </c>
      <c r="B29" t="s">
        <v>46</v>
      </c>
      <c r="C29" t="s">
        <v>37</v>
      </c>
      <c r="D29" t="s">
        <v>47</v>
      </c>
      <c r="E29">
        <v>27</v>
      </c>
      <c r="F29">
        <f t="shared" si="0"/>
        <v>1</v>
      </c>
      <c r="G29">
        <v>7</v>
      </c>
      <c r="H29">
        <v>2</v>
      </c>
      <c r="I29" t="s">
        <v>37</v>
      </c>
      <c r="J29">
        <v>0.95384209998883296</v>
      </c>
      <c r="K29" t="s">
        <v>40</v>
      </c>
      <c r="L29">
        <v>2</v>
      </c>
      <c r="M29">
        <v>7</v>
      </c>
      <c r="N29">
        <v>27</v>
      </c>
      <c r="O29">
        <v>8</v>
      </c>
      <c r="P29">
        <v>28.0716287000104</v>
      </c>
      <c r="R29">
        <v>28.056644500000399</v>
      </c>
      <c r="S29">
        <v>28.0716287000104</v>
      </c>
      <c r="T29">
        <v>28.0716287000104</v>
      </c>
      <c r="U29">
        <v>28.0716287000104</v>
      </c>
      <c r="V29">
        <v>28.571420899999701</v>
      </c>
      <c r="X29">
        <v>29.038688100001298</v>
      </c>
      <c r="Y29" t="s">
        <v>37</v>
      </c>
      <c r="Z29">
        <v>0.95384209998883296</v>
      </c>
      <c r="AA29" t="s">
        <v>40</v>
      </c>
      <c r="AB29">
        <v>2</v>
      </c>
      <c r="AC29">
        <v>1</v>
      </c>
      <c r="AD29" t="s">
        <v>41</v>
      </c>
      <c r="AE29" t="s">
        <v>42</v>
      </c>
      <c r="AG29" t="s">
        <v>43</v>
      </c>
      <c r="AH29">
        <v>59.9952363698971</v>
      </c>
      <c r="AI29" t="s">
        <v>44</v>
      </c>
    </row>
    <row r="30" spans="1:35">
      <c r="A30" t="s">
        <v>35</v>
      </c>
      <c r="B30" t="s">
        <v>36</v>
      </c>
      <c r="C30" t="s">
        <v>37</v>
      </c>
      <c r="D30" t="s">
        <v>38</v>
      </c>
      <c r="E30">
        <v>28</v>
      </c>
      <c r="F30">
        <f t="shared" si="0"/>
        <v>0</v>
      </c>
      <c r="G30">
        <v>8</v>
      </c>
      <c r="H30">
        <v>2</v>
      </c>
      <c r="I30" t="s">
        <v>39</v>
      </c>
      <c r="J30">
        <v>1.1224842999945299</v>
      </c>
      <c r="K30" t="s">
        <v>40</v>
      </c>
      <c r="L30">
        <v>2</v>
      </c>
      <c r="M30">
        <v>8</v>
      </c>
      <c r="N30">
        <v>28</v>
      </c>
      <c r="O30">
        <v>5</v>
      </c>
      <c r="P30">
        <v>29.054747599991899</v>
      </c>
      <c r="R30">
        <v>29.039838600030599</v>
      </c>
      <c r="S30">
        <v>29.054747599991899</v>
      </c>
      <c r="T30">
        <v>29.054747599991899</v>
      </c>
      <c r="U30">
        <v>29.054747599991899</v>
      </c>
      <c r="V30">
        <v>29.554384200018799</v>
      </c>
      <c r="W30">
        <v>30.054604800010502</v>
      </c>
      <c r="X30">
        <v>30.1881943999906</v>
      </c>
      <c r="Y30" t="s">
        <v>39</v>
      </c>
      <c r="Z30">
        <v>1.1224842999945299</v>
      </c>
      <c r="AA30" t="s">
        <v>40</v>
      </c>
      <c r="AB30">
        <v>2</v>
      </c>
      <c r="AC30">
        <v>1</v>
      </c>
      <c r="AD30" t="s">
        <v>41</v>
      </c>
      <c r="AE30" t="s">
        <v>42</v>
      </c>
      <c r="AG30" t="s">
        <v>43</v>
      </c>
      <c r="AH30">
        <v>59.9952363698971</v>
      </c>
      <c r="AI30" t="s">
        <v>44</v>
      </c>
    </row>
    <row r="31" spans="1:35">
      <c r="A31" t="s">
        <v>35</v>
      </c>
      <c r="B31" t="s">
        <v>46</v>
      </c>
      <c r="C31" t="s">
        <v>37</v>
      </c>
      <c r="D31" t="s">
        <v>47</v>
      </c>
      <c r="E31">
        <v>29</v>
      </c>
      <c r="F31">
        <f t="shared" si="0"/>
        <v>0</v>
      </c>
      <c r="G31">
        <v>9</v>
      </c>
      <c r="H31">
        <v>2</v>
      </c>
      <c r="I31" t="s">
        <v>39</v>
      </c>
      <c r="J31">
        <v>1.2154754999792201</v>
      </c>
      <c r="K31" t="s">
        <v>40</v>
      </c>
      <c r="L31">
        <v>2</v>
      </c>
      <c r="M31">
        <v>9</v>
      </c>
      <c r="N31">
        <v>29</v>
      </c>
      <c r="O31">
        <v>0</v>
      </c>
      <c r="P31">
        <v>30.204328500025401</v>
      </c>
      <c r="R31">
        <v>30.189289100002402</v>
      </c>
      <c r="S31">
        <v>30.204328500025401</v>
      </c>
      <c r="T31">
        <v>30.204328500025401</v>
      </c>
      <c r="U31">
        <v>30.204328500025401</v>
      </c>
      <c r="V31">
        <v>30.7042004999821</v>
      </c>
      <c r="W31">
        <v>31.204255999997201</v>
      </c>
      <c r="X31">
        <v>31.421122500032599</v>
      </c>
      <c r="Y31" t="s">
        <v>39</v>
      </c>
      <c r="Z31">
        <v>1.2154754999792201</v>
      </c>
      <c r="AA31" t="s">
        <v>40</v>
      </c>
      <c r="AB31">
        <v>2</v>
      </c>
      <c r="AC31">
        <v>1</v>
      </c>
      <c r="AD31" t="s">
        <v>41</v>
      </c>
      <c r="AE31" t="s">
        <v>42</v>
      </c>
      <c r="AG31" t="s">
        <v>43</v>
      </c>
      <c r="AH31">
        <v>59.9952363698971</v>
      </c>
      <c r="AI31" t="s">
        <v>44</v>
      </c>
    </row>
    <row r="32" spans="1:35">
      <c r="A32" t="s">
        <v>45</v>
      </c>
      <c r="B32" t="s">
        <v>36</v>
      </c>
      <c r="C32" t="s">
        <v>39</v>
      </c>
      <c r="D32" t="s">
        <v>47</v>
      </c>
      <c r="E32">
        <v>30</v>
      </c>
      <c r="F32">
        <f t="shared" si="0"/>
        <v>0</v>
      </c>
      <c r="G32">
        <v>0</v>
      </c>
      <c r="H32">
        <v>3</v>
      </c>
      <c r="I32" t="s">
        <v>37</v>
      </c>
      <c r="J32">
        <v>1.7420778999803499</v>
      </c>
      <c r="K32" t="s">
        <v>40</v>
      </c>
      <c r="L32">
        <v>3</v>
      </c>
      <c r="M32">
        <v>0</v>
      </c>
      <c r="N32">
        <v>30</v>
      </c>
      <c r="O32">
        <v>3</v>
      </c>
      <c r="P32">
        <v>31.437343700032201</v>
      </c>
      <c r="R32">
        <v>31.4221162000321</v>
      </c>
      <c r="S32">
        <v>31.437343700032201</v>
      </c>
      <c r="T32">
        <v>31.437343700032201</v>
      </c>
      <c r="U32">
        <v>31.437343700032201</v>
      </c>
      <c r="V32">
        <v>31.936958800011698</v>
      </c>
      <c r="W32">
        <v>32.436871599988002</v>
      </c>
      <c r="X32">
        <v>33.187175899976801</v>
      </c>
      <c r="Y32" t="s">
        <v>37</v>
      </c>
      <c r="Z32">
        <v>1.7420778999803499</v>
      </c>
      <c r="AA32" t="s">
        <v>40</v>
      </c>
      <c r="AB32">
        <v>2</v>
      </c>
      <c r="AC32">
        <v>1</v>
      </c>
      <c r="AD32" t="s">
        <v>41</v>
      </c>
      <c r="AE32" t="s">
        <v>42</v>
      </c>
      <c r="AG32" t="s">
        <v>43</v>
      </c>
      <c r="AH32">
        <v>59.9952363698971</v>
      </c>
      <c r="AI32" t="s">
        <v>44</v>
      </c>
    </row>
    <row r="33" spans="1:35">
      <c r="A33" t="s">
        <v>35</v>
      </c>
      <c r="B33" t="s">
        <v>36</v>
      </c>
      <c r="C33" t="s">
        <v>37</v>
      </c>
      <c r="D33" t="s">
        <v>38</v>
      </c>
      <c r="E33">
        <v>31</v>
      </c>
      <c r="F33">
        <f t="shared" si="0"/>
        <v>0</v>
      </c>
      <c r="G33">
        <v>1</v>
      </c>
      <c r="H33">
        <v>3</v>
      </c>
      <c r="I33" t="s">
        <v>39</v>
      </c>
      <c r="J33">
        <v>1.37620140000944</v>
      </c>
      <c r="K33" t="s">
        <v>40</v>
      </c>
      <c r="L33">
        <v>3</v>
      </c>
      <c r="M33">
        <v>1</v>
      </c>
      <c r="N33">
        <v>31</v>
      </c>
      <c r="O33">
        <v>9</v>
      </c>
      <c r="P33">
        <v>33.203138399985598</v>
      </c>
      <c r="R33">
        <v>33.188283700030297</v>
      </c>
      <c r="S33">
        <v>33.203138399985598</v>
      </c>
      <c r="T33">
        <v>33.203138399985598</v>
      </c>
      <c r="U33">
        <v>33.203138399985598</v>
      </c>
      <c r="V33">
        <v>33.703161599987602</v>
      </c>
      <c r="W33">
        <v>34.202946199977298</v>
      </c>
      <c r="X33">
        <v>34.586736500030298</v>
      </c>
      <c r="Y33" t="s">
        <v>39</v>
      </c>
      <c r="Z33">
        <v>1.37620140000944</v>
      </c>
      <c r="AA33" t="s">
        <v>40</v>
      </c>
      <c r="AB33">
        <v>2</v>
      </c>
      <c r="AC33">
        <v>1</v>
      </c>
      <c r="AD33" t="s">
        <v>41</v>
      </c>
      <c r="AE33" t="s">
        <v>42</v>
      </c>
      <c r="AG33" t="s">
        <v>43</v>
      </c>
      <c r="AH33">
        <v>59.9952363698971</v>
      </c>
      <c r="AI33" t="s">
        <v>44</v>
      </c>
    </row>
    <row r="34" spans="1:35">
      <c r="A34" t="s">
        <v>35</v>
      </c>
      <c r="B34" t="s">
        <v>36</v>
      </c>
      <c r="C34" t="s">
        <v>37</v>
      </c>
      <c r="D34" t="s">
        <v>38</v>
      </c>
      <c r="E34">
        <v>32</v>
      </c>
      <c r="F34">
        <f t="shared" si="0"/>
        <v>0</v>
      </c>
      <c r="G34">
        <v>2</v>
      </c>
      <c r="H34">
        <v>3</v>
      </c>
      <c r="I34" t="s">
        <v>39</v>
      </c>
      <c r="J34">
        <v>1.3038559000124199</v>
      </c>
      <c r="K34" t="s">
        <v>40</v>
      </c>
      <c r="L34">
        <v>3</v>
      </c>
      <c r="M34">
        <v>2</v>
      </c>
      <c r="N34">
        <v>32</v>
      </c>
      <c r="O34">
        <v>1</v>
      </c>
      <c r="P34">
        <v>34.602579900005303</v>
      </c>
      <c r="R34">
        <v>34.587844900030099</v>
      </c>
      <c r="S34">
        <v>34.602579900005303</v>
      </c>
      <c r="T34">
        <v>34.602579900005303</v>
      </c>
      <c r="U34">
        <v>34.602579900005303</v>
      </c>
      <c r="V34">
        <v>35.102715599990901</v>
      </c>
      <c r="W34">
        <v>35.602447599987499</v>
      </c>
      <c r="X34">
        <v>35.919673399999702</v>
      </c>
      <c r="Y34" t="s">
        <v>39</v>
      </c>
      <c r="Z34">
        <v>1.3038559000124199</v>
      </c>
      <c r="AA34" t="s">
        <v>40</v>
      </c>
      <c r="AB34">
        <v>2</v>
      </c>
      <c r="AC34">
        <v>1</v>
      </c>
      <c r="AD34" t="s">
        <v>41</v>
      </c>
      <c r="AE34" t="s">
        <v>42</v>
      </c>
      <c r="AG34" t="s">
        <v>43</v>
      </c>
      <c r="AH34">
        <v>59.9952363698971</v>
      </c>
      <c r="AI34" t="s">
        <v>44</v>
      </c>
    </row>
    <row r="35" spans="1:35">
      <c r="A35" t="s">
        <v>45</v>
      </c>
      <c r="B35" t="s">
        <v>46</v>
      </c>
      <c r="C35" t="s">
        <v>39</v>
      </c>
      <c r="D35" t="s">
        <v>38</v>
      </c>
      <c r="E35">
        <v>33</v>
      </c>
      <c r="F35">
        <f t="shared" si="0"/>
        <v>0</v>
      </c>
      <c r="G35">
        <v>3</v>
      </c>
      <c r="H35">
        <v>3</v>
      </c>
      <c r="I35" t="s">
        <v>37</v>
      </c>
      <c r="J35">
        <v>1.1529298000386901</v>
      </c>
      <c r="K35" t="s">
        <v>40</v>
      </c>
      <c r="L35">
        <v>3</v>
      </c>
      <c r="M35">
        <v>3</v>
      </c>
      <c r="N35">
        <v>33</v>
      </c>
      <c r="O35">
        <v>2</v>
      </c>
      <c r="P35">
        <v>35.935585899976999</v>
      </c>
      <c r="R35">
        <v>35.920784900023101</v>
      </c>
      <c r="S35">
        <v>35.935585899976999</v>
      </c>
      <c r="T35">
        <v>35.935585899976999</v>
      </c>
      <c r="U35">
        <v>35.935585899976999</v>
      </c>
      <c r="V35">
        <v>36.435241799976197</v>
      </c>
      <c r="W35">
        <v>36.935239800019097</v>
      </c>
      <c r="X35">
        <v>37.102620800025697</v>
      </c>
      <c r="Y35" t="s">
        <v>37</v>
      </c>
      <c r="Z35">
        <v>1.1529298000386901</v>
      </c>
      <c r="AA35" t="s">
        <v>40</v>
      </c>
      <c r="AB35">
        <v>2</v>
      </c>
      <c r="AC35">
        <v>1</v>
      </c>
      <c r="AD35" t="s">
        <v>41</v>
      </c>
      <c r="AE35" t="s">
        <v>42</v>
      </c>
      <c r="AG35" t="s">
        <v>43</v>
      </c>
      <c r="AH35">
        <v>59.9952363698971</v>
      </c>
      <c r="AI35" t="s">
        <v>44</v>
      </c>
    </row>
    <row r="36" spans="1:35">
      <c r="A36" t="s">
        <v>35</v>
      </c>
      <c r="B36" t="s">
        <v>46</v>
      </c>
      <c r="C36" t="s">
        <v>37</v>
      </c>
      <c r="D36" t="s">
        <v>47</v>
      </c>
      <c r="E36">
        <v>34</v>
      </c>
      <c r="F36">
        <f t="shared" si="0"/>
        <v>0</v>
      </c>
      <c r="G36">
        <v>4</v>
      </c>
      <c r="H36">
        <v>3</v>
      </c>
      <c r="I36" t="s">
        <v>39</v>
      </c>
      <c r="J36">
        <v>0.75712670001666904</v>
      </c>
      <c r="K36" t="s">
        <v>40</v>
      </c>
      <c r="L36">
        <v>3</v>
      </c>
      <c r="M36">
        <v>4</v>
      </c>
      <c r="N36">
        <v>34</v>
      </c>
      <c r="O36">
        <v>0</v>
      </c>
      <c r="P36">
        <v>37.1185660000192</v>
      </c>
      <c r="R36">
        <v>37.103741400002001</v>
      </c>
      <c r="S36">
        <v>37.1185660000192</v>
      </c>
      <c r="T36">
        <v>37.1185660000192</v>
      </c>
      <c r="U36">
        <v>37.1185660000192</v>
      </c>
      <c r="V36">
        <v>37.6184006999828</v>
      </c>
      <c r="X36">
        <v>37.885432899987698</v>
      </c>
      <c r="Y36" t="s">
        <v>39</v>
      </c>
      <c r="Z36">
        <v>0.75712670001666904</v>
      </c>
      <c r="AA36" t="s">
        <v>40</v>
      </c>
      <c r="AB36">
        <v>2</v>
      </c>
      <c r="AC36">
        <v>1</v>
      </c>
      <c r="AD36" t="s">
        <v>41</v>
      </c>
      <c r="AE36" t="s">
        <v>42</v>
      </c>
      <c r="AG36" t="s">
        <v>43</v>
      </c>
      <c r="AH36">
        <v>59.9952363698971</v>
      </c>
      <c r="AI36" t="s">
        <v>44</v>
      </c>
    </row>
    <row r="37" spans="1:35">
      <c r="A37" t="s">
        <v>45</v>
      </c>
      <c r="B37" t="s">
        <v>46</v>
      </c>
      <c r="C37" t="s">
        <v>39</v>
      </c>
      <c r="D37" t="s">
        <v>38</v>
      </c>
      <c r="E37">
        <v>35</v>
      </c>
      <c r="F37">
        <f t="shared" si="0"/>
        <v>0</v>
      </c>
      <c r="G37">
        <v>5</v>
      </c>
      <c r="H37">
        <v>3</v>
      </c>
      <c r="I37" t="s">
        <v>37</v>
      </c>
      <c r="J37">
        <v>1.3498765000258499</v>
      </c>
      <c r="K37" t="s">
        <v>40</v>
      </c>
      <c r="L37">
        <v>3</v>
      </c>
      <c r="M37">
        <v>5</v>
      </c>
      <c r="N37">
        <v>35</v>
      </c>
      <c r="O37">
        <v>6</v>
      </c>
      <c r="P37">
        <v>37.901470299984702</v>
      </c>
      <c r="R37">
        <v>37.886512500001103</v>
      </c>
      <c r="S37">
        <v>37.901470299984702</v>
      </c>
      <c r="T37">
        <v>37.901470299984702</v>
      </c>
      <c r="U37">
        <v>37.901470299984702</v>
      </c>
      <c r="V37">
        <v>38.401395099994197</v>
      </c>
      <c r="W37">
        <v>38.901379599992602</v>
      </c>
      <c r="X37">
        <v>39.251872599998002</v>
      </c>
      <c r="Y37" t="s">
        <v>37</v>
      </c>
      <c r="Z37">
        <v>1.3498765000258499</v>
      </c>
      <c r="AA37" t="s">
        <v>40</v>
      </c>
      <c r="AB37">
        <v>2</v>
      </c>
      <c r="AC37">
        <v>1</v>
      </c>
      <c r="AD37" t="s">
        <v>41</v>
      </c>
      <c r="AE37" t="s">
        <v>42</v>
      </c>
      <c r="AG37" t="s">
        <v>43</v>
      </c>
      <c r="AH37">
        <v>59.9952363698971</v>
      </c>
      <c r="AI37" t="s">
        <v>44</v>
      </c>
    </row>
    <row r="38" spans="1:35">
      <c r="A38" t="s">
        <v>35</v>
      </c>
      <c r="B38" t="s">
        <v>46</v>
      </c>
      <c r="C38" t="s">
        <v>37</v>
      </c>
      <c r="D38" t="s">
        <v>47</v>
      </c>
      <c r="E38">
        <v>36</v>
      </c>
      <c r="F38">
        <f t="shared" si="0"/>
        <v>0</v>
      </c>
      <c r="G38">
        <v>6</v>
      </c>
      <c r="H38">
        <v>3</v>
      </c>
      <c r="I38" t="s">
        <v>39</v>
      </c>
      <c r="J38">
        <v>1.0287105999886901</v>
      </c>
      <c r="K38" t="s">
        <v>40</v>
      </c>
      <c r="L38">
        <v>3</v>
      </c>
      <c r="M38">
        <v>6</v>
      </c>
      <c r="N38">
        <v>36</v>
      </c>
      <c r="O38">
        <v>4</v>
      </c>
      <c r="P38">
        <v>39.267700100026502</v>
      </c>
      <c r="R38">
        <v>39.252992700028699</v>
      </c>
      <c r="S38">
        <v>39.267700100026502</v>
      </c>
      <c r="T38">
        <v>39.267700100026502</v>
      </c>
      <c r="U38">
        <v>39.267700100026502</v>
      </c>
      <c r="V38">
        <v>39.767353400005902</v>
      </c>
      <c r="W38">
        <v>40.267335599986801</v>
      </c>
      <c r="X38">
        <v>40.301482599985299</v>
      </c>
      <c r="Y38" t="s">
        <v>39</v>
      </c>
      <c r="Z38">
        <v>1.0287105999886901</v>
      </c>
      <c r="AA38" t="s">
        <v>40</v>
      </c>
      <c r="AB38">
        <v>2</v>
      </c>
      <c r="AC38">
        <v>1</v>
      </c>
      <c r="AD38" t="s">
        <v>41</v>
      </c>
      <c r="AE38" t="s">
        <v>42</v>
      </c>
      <c r="AG38" t="s">
        <v>43</v>
      </c>
      <c r="AH38">
        <v>59.9952363698971</v>
      </c>
      <c r="AI38" t="s">
        <v>44</v>
      </c>
    </row>
    <row r="39" spans="1:35">
      <c r="A39" t="s">
        <v>35</v>
      </c>
      <c r="B39" t="s">
        <v>46</v>
      </c>
      <c r="C39" t="s">
        <v>37</v>
      </c>
      <c r="D39" t="s">
        <v>47</v>
      </c>
      <c r="E39">
        <v>37</v>
      </c>
      <c r="F39">
        <f t="shared" si="0"/>
        <v>0</v>
      </c>
      <c r="G39">
        <v>7</v>
      </c>
      <c r="H39">
        <v>3</v>
      </c>
      <c r="I39" t="s">
        <v>39</v>
      </c>
      <c r="J39">
        <v>0.95710280002094805</v>
      </c>
      <c r="K39" t="s">
        <v>40</v>
      </c>
      <c r="L39">
        <v>3</v>
      </c>
      <c r="M39">
        <v>7</v>
      </c>
      <c r="N39">
        <v>37</v>
      </c>
      <c r="O39">
        <v>8</v>
      </c>
      <c r="P39">
        <v>40.3173789000138</v>
      </c>
      <c r="R39">
        <v>40.302579600014703</v>
      </c>
      <c r="S39">
        <v>40.3173789000138</v>
      </c>
      <c r="T39">
        <v>40.3173789000138</v>
      </c>
      <c r="U39">
        <v>40.3173789000138</v>
      </c>
      <c r="V39">
        <v>40.817108599992899</v>
      </c>
      <c r="X39">
        <v>41.284592600015401</v>
      </c>
      <c r="Y39" t="s">
        <v>39</v>
      </c>
      <c r="Z39">
        <v>0.95710280002094805</v>
      </c>
      <c r="AA39" t="s">
        <v>40</v>
      </c>
      <c r="AB39">
        <v>2</v>
      </c>
      <c r="AC39">
        <v>1</v>
      </c>
      <c r="AD39" t="s">
        <v>41</v>
      </c>
      <c r="AE39" t="s">
        <v>42</v>
      </c>
      <c r="AG39" t="s">
        <v>43</v>
      </c>
      <c r="AH39">
        <v>59.9952363698971</v>
      </c>
      <c r="AI39" t="s">
        <v>44</v>
      </c>
    </row>
    <row r="40" spans="1:35">
      <c r="A40" t="s">
        <v>35</v>
      </c>
      <c r="B40" t="s">
        <v>36</v>
      </c>
      <c r="C40" t="s">
        <v>37</v>
      </c>
      <c r="D40" t="s">
        <v>38</v>
      </c>
      <c r="E40">
        <v>38</v>
      </c>
      <c r="F40">
        <f t="shared" si="0"/>
        <v>0</v>
      </c>
      <c r="G40">
        <v>8</v>
      </c>
      <c r="H40">
        <v>3</v>
      </c>
      <c r="I40" t="s">
        <v>39</v>
      </c>
      <c r="J40">
        <v>1.19709120003972</v>
      </c>
      <c r="K40" t="s">
        <v>40</v>
      </c>
      <c r="L40">
        <v>3</v>
      </c>
      <c r="M40">
        <v>8</v>
      </c>
      <c r="N40">
        <v>38</v>
      </c>
      <c r="O40">
        <v>5</v>
      </c>
      <c r="P40">
        <v>41.300347600015797</v>
      </c>
      <c r="R40">
        <v>41.2857101000263</v>
      </c>
      <c r="S40">
        <v>41.300347600015797</v>
      </c>
      <c r="T40">
        <v>41.300347600015797</v>
      </c>
      <c r="U40">
        <v>41.300347600015797</v>
      </c>
      <c r="V40">
        <v>41.800349200027902</v>
      </c>
      <c r="W40">
        <v>42.300325500022097</v>
      </c>
      <c r="X40">
        <v>42.500637900026</v>
      </c>
      <c r="Y40" t="s">
        <v>39</v>
      </c>
      <c r="Z40">
        <v>1.19709120003972</v>
      </c>
      <c r="AA40" t="s">
        <v>40</v>
      </c>
      <c r="AB40">
        <v>2</v>
      </c>
      <c r="AC40">
        <v>1</v>
      </c>
      <c r="AD40" t="s">
        <v>41</v>
      </c>
      <c r="AE40" t="s">
        <v>42</v>
      </c>
      <c r="AG40" t="s">
        <v>43</v>
      </c>
      <c r="AH40">
        <v>59.9952363698971</v>
      </c>
      <c r="AI40" t="s">
        <v>44</v>
      </c>
    </row>
    <row r="41" spans="1:35">
      <c r="A41" t="s">
        <v>45</v>
      </c>
      <c r="B41" t="s">
        <v>36</v>
      </c>
      <c r="C41" t="s">
        <v>39</v>
      </c>
      <c r="D41" t="s">
        <v>47</v>
      </c>
      <c r="E41">
        <v>39</v>
      </c>
      <c r="F41">
        <f t="shared" si="0"/>
        <v>0</v>
      </c>
      <c r="G41">
        <v>9</v>
      </c>
      <c r="H41">
        <v>3</v>
      </c>
      <c r="I41" t="s">
        <v>37</v>
      </c>
      <c r="J41">
        <v>0.92763069999637005</v>
      </c>
      <c r="K41" t="s">
        <v>40</v>
      </c>
      <c r="L41">
        <v>3</v>
      </c>
      <c r="M41">
        <v>9</v>
      </c>
      <c r="N41">
        <v>39</v>
      </c>
      <c r="O41">
        <v>7</v>
      </c>
      <c r="P41">
        <v>42.516738099977303</v>
      </c>
      <c r="R41">
        <v>42.501721500011598</v>
      </c>
      <c r="S41">
        <v>42.516738099977303</v>
      </c>
      <c r="T41">
        <v>42.516738099977303</v>
      </c>
      <c r="U41">
        <v>42.516738099977303</v>
      </c>
      <c r="V41">
        <v>43.016491200018201</v>
      </c>
      <c r="X41">
        <v>43.450400699977699</v>
      </c>
      <c r="Y41" t="s">
        <v>37</v>
      </c>
      <c r="Z41">
        <v>0.92763069999637005</v>
      </c>
      <c r="AA41" t="s">
        <v>40</v>
      </c>
      <c r="AB41">
        <v>2</v>
      </c>
      <c r="AC41">
        <v>1</v>
      </c>
      <c r="AD41" t="s">
        <v>41</v>
      </c>
      <c r="AE41" t="s">
        <v>42</v>
      </c>
      <c r="AG41" t="s">
        <v>43</v>
      </c>
      <c r="AH41">
        <v>59.9952363698971</v>
      </c>
      <c r="AI41" t="s">
        <v>44</v>
      </c>
    </row>
    <row r="42" spans="1:35">
      <c r="A42" t="s">
        <v>45</v>
      </c>
      <c r="B42" t="s">
        <v>46</v>
      </c>
      <c r="C42" t="s">
        <v>39</v>
      </c>
      <c r="D42" t="s">
        <v>38</v>
      </c>
      <c r="E42">
        <v>40</v>
      </c>
      <c r="F42">
        <f t="shared" si="0"/>
        <v>0</v>
      </c>
      <c r="G42">
        <v>0</v>
      </c>
      <c r="H42">
        <v>4</v>
      </c>
      <c r="I42" t="s">
        <v>37</v>
      </c>
      <c r="J42">
        <v>1.1287663999828501</v>
      </c>
      <c r="K42" t="s">
        <v>40</v>
      </c>
      <c r="L42">
        <v>4</v>
      </c>
      <c r="M42">
        <v>0</v>
      </c>
      <c r="N42">
        <v>40</v>
      </c>
      <c r="O42">
        <v>6</v>
      </c>
      <c r="P42">
        <v>43.466205600008799</v>
      </c>
      <c r="R42">
        <v>43.451494299981199</v>
      </c>
      <c r="S42">
        <v>43.466205600008799</v>
      </c>
      <c r="T42">
        <v>43.466205600008799</v>
      </c>
      <c r="U42">
        <v>43.466205600008799</v>
      </c>
      <c r="V42">
        <v>43.9662567999912</v>
      </c>
      <c r="W42">
        <v>44.4661136000067</v>
      </c>
      <c r="X42">
        <v>44.599966800014897</v>
      </c>
      <c r="Y42" t="s">
        <v>37</v>
      </c>
      <c r="Z42">
        <v>1.1287663999828501</v>
      </c>
      <c r="AA42" t="s">
        <v>40</v>
      </c>
      <c r="AB42">
        <v>2</v>
      </c>
      <c r="AC42">
        <v>1</v>
      </c>
      <c r="AD42" t="s">
        <v>41</v>
      </c>
      <c r="AE42" t="s">
        <v>42</v>
      </c>
      <c r="AG42" t="s">
        <v>43</v>
      </c>
      <c r="AH42">
        <v>59.9952363698971</v>
      </c>
      <c r="AI42" t="s">
        <v>44</v>
      </c>
    </row>
    <row r="43" spans="1:35">
      <c r="A43" t="s">
        <v>35</v>
      </c>
      <c r="B43" t="s">
        <v>36</v>
      </c>
      <c r="C43" t="s">
        <v>37</v>
      </c>
      <c r="D43" t="s">
        <v>38</v>
      </c>
      <c r="E43">
        <v>41</v>
      </c>
      <c r="F43">
        <f t="shared" si="0"/>
        <v>0</v>
      </c>
      <c r="G43">
        <v>1</v>
      </c>
      <c r="H43">
        <v>4</v>
      </c>
      <c r="I43" t="s">
        <v>39</v>
      </c>
      <c r="J43">
        <v>1.03418650000821</v>
      </c>
      <c r="K43" t="s">
        <v>40</v>
      </c>
      <c r="L43">
        <v>4</v>
      </c>
      <c r="M43">
        <v>1</v>
      </c>
      <c r="N43">
        <v>41</v>
      </c>
      <c r="O43">
        <v>1</v>
      </c>
      <c r="P43">
        <v>44.615900299977497</v>
      </c>
      <c r="R43">
        <v>44.601078499981597</v>
      </c>
      <c r="S43">
        <v>44.615900299977497</v>
      </c>
      <c r="T43">
        <v>44.615900299977497</v>
      </c>
      <c r="U43">
        <v>44.615900299977497</v>
      </c>
      <c r="V43">
        <v>45.115823999978602</v>
      </c>
      <c r="W43">
        <v>45.615571499976703</v>
      </c>
      <c r="X43">
        <v>45.666200099978496</v>
      </c>
      <c r="Y43" t="s">
        <v>39</v>
      </c>
      <c r="Z43">
        <v>1.03418650000821</v>
      </c>
      <c r="AA43" t="s">
        <v>40</v>
      </c>
      <c r="AB43">
        <v>2</v>
      </c>
      <c r="AC43">
        <v>1</v>
      </c>
      <c r="AD43" t="s">
        <v>41</v>
      </c>
      <c r="AE43" t="s">
        <v>42</v>
      </c>
      <c r="AG43" t="s">
        <v>43</v>
      </c>
      <c r="AH43">
        <v>59.9952363698971</v>
      </c>
      <c r="AI43" t="s">
        <v>44</v>
      </c>
    </row>
    <row r="44" spans="1:35">
      <c r="A44" t="s">
        <v>35</v>
      </c>
      <c r="B44" t="s">
        <v>36</v>
      </c>
      <c r="C44" t="s">
        <v>37</v>
      </c>
      <c r="D44" t="s">
        <v>38</v>
      </c>
      <c r="E44">
        <v>42</v>
      </c>
      <c r="F44">
        <f t="shared" si="0"/>
        <v>0</v>
      </c>
      <c r="G44">
        <v>2</v>
      </c>
      <c r="H44">
        <v>4</v>
      </c>
      <c r="I44" t="s">
        <v>39</v>
      </c>
      <c r="J44">
        <v>1.11542039999039</v>
      </c>
      <c r="K44" t="s">
        <v>40</v>
      </c>
      <c r="L44">
        <v>4</v>
      </c>
      <c r="M44">
        <v>2</v>
      </c>
      <c r="N44">
        <v>42</v>
      </c>
      <c r="O44">
        <v>9</v>
      </c>
      <c r="P44">
        <v>45.682378600002203</v>
      </c>
      <c r="R44">
        <v>45.667224099976004</v>
      </c>
      <c r="S44">
        <v>45.682378600002203</v>
      </c>
      <c r="T44">
        <v>45.682378600002203</v>
      </c>
      <c r="U44">
        <v>45.682378600002203</v>
      </c>
      <c r="V44">
        <v>46.182354899996398</v>
      </c>
      <c r="W44">
        <v>46.6822002999833</v>
      </c>
      <c r="X44">
        <v>46.799182199989403</v>
      </c>
      <c r="Y44" t="s">
        <v>39</v>
      </c>
      <c r="Z44">
        <v>1.11542039999039</v>
      </c>
      <c r="AA44" t="s">
        <v>40</v>
      </c>
      <c r="AB44">
        <v>2</v>
      </c>
      <c r="AC44">
        <v>1</v>
      </c>
      <c r="AD44" t="s">
        <v>41</v>
      </c>
      <c r="AE44" t="s">
        <v>42</v>
      </c>
      <c r="AG44" t="s">
        <v>43</v>
      </c>
      <c r="AH44">
        <v>59.9952363698971</v>
      </c>
      <c r="AI44" t="s">
        <v>44</v>
      </c>
    </row>
    <row r="45" spans="1:35">
      <c r="A45" t="s">
        <v>45</v>
      </c>
      <c r="B45" t="s">
        <v>36</v>
      </c>
      <c r="C45" t="s">
        <v>39</v>
      </c>
      <c r="D45" t="s">
        <v>47</v>
      </c>
      <c r="E45">
        <v>43</v>
      </c>
      <c r="F45">
        <f t="shared" si="0"/>
        <v>0</v>
      </c>
      <c r="G45">
        <v>3</v>
      </c>
      <c r="H45">
        <v>4</v>
      </c>
      <c r="I45" t="s">
        <v>37</v>
      </c>
      <c r="J45">
        <v>1.03795399999944</v>
      </c>
      <c r="K45" t="s">
        <v>40</v>
      </c>
      <c r="L45">
        <v>4</v>
      </c>
      <c r="M45">
        <v>3</v>
      </c>
      <c r="N45">
        <v>43</v>
      </c>
      <c r="O45">
        <v>3</v>
      </c>
      <c r="P45">
        <v>46.815308100019998</v>
      </c>
      <c r="R45">
        <v>46.8001963000278</v>
      </c>
      <c r="S45">
        <v>46.815308100019998</v>
      </c>
      <c r="T45">
        <v>46.815308100019998</v>
      </c>
      <c r="U45">
        <v>46.815308100019998</v>
      </c>
      <c r="V45">
        <v>47.314563399995599</v>
      </c>
      <c r="W45">
        <v>47.814659900031899</v>
      </c>
      <c r="X45">
        <v>47.8649797000107</v>
      </c>
      <c r="Y45" t="s">
        <v>37</v>
      </c>
      <c r="Z45">
        <v>1.03795399999944</v>
      </c>
      <c r="AA45" t="s">
        <v>40</v>
      </c>
      <c r="AB45">
        <v>2</v>
      </c>
      <c r="AC45">
        <v>1</v>
      </c>
      <c r="AD45" t="s">
        <v>41</v>
      </c>
      <c r="AE45" t="s">
        <v>42</v>
      </c>
      <c r="AG45" t="s">
        <v>43</v>
      </c>
      <c r="AH45">
        <v>59.9952363698971</v>
      </c>
      <c r="AI45" t="s">
        <v>44</v>
      </c>
    </row>
    <row r="46" spans="1:35">
      <c r="A46" t="s">
        <v>35</v>
      </c>
      <c r="B46" t="s">
        <v>46</v>
      </c>
      <c r="C46" t="s">
        <v>37</v>
      </c>
      <c r="D46" t="s">
        <v>47</v>
      </c>
      <c r="E46">
        <v>44</v>
      </c>
      <c r="F46">
        <f t="shared" si="0"/>
        <v>0</v>
      </c>
      <c r="G46">
        <v>4</v>
      </c>
      <c r="H46">
        <v>4</v>
      </c>
      <c r="I46" t="s">
        <v>39</v>
      </c>
      <c r="J46">
        <v>1.1752110000234</v>
      </c>
      <c r="K46" t="s">
        <v>40</v>
      </c>
      <c r="L46">
        <v>4</v>
      </c>
      <c r="M46">
        <v>4</v>
      </c>
      <c r="N46">
        <v>44</v>
      </c>
      <c r="O46">
        <v>8</v>
      </c>
      <c r="P46">
        <v>47.881398500001502</v>
      </c>
      <c r="R46">
        <v>47.865433699975199</v>
      </c>
      <c r="S46">
        <v>47.881398500001502</v>
      </c>
      <c r="T46">
        <v>47.881398500001502</v>
      </c>
      <c r="U46">
        <v>47.881398500001502</v>
      </c>
      <c r="V46">
        <v>48.381080000021001</v>
      </c>
      <c r="W46">
        <v>48.881222099997103</v>
      </c>
      <c r="X46">
        <v>49.064202199980997</v>
      </c>
      <c r="Y46" t="s">
        <v>39</v>
      </c>
      <c r="Z46">
        <v>1.1752110000234</v>
      </c>
      <c r="AA46" t="s">
        <v>40</v>
      </c>
      <c r="AB46">
        <v>2</v>
      </c>
      <c r="AC46">
        <v>1</v>
      </c>
      <c r="AD46" t="s">
        <v>41</v>
      </c>
      <c r="AE46" t="s">
        <v>42</v>
      </c>
      <c r="AG46" t="s">
        <v>43</v>
      </c>
      <c r="AH46">
        <v>59.9952363698971</v>
      </c>
      <c r="AI46" t="s">
        <v>44</v>
      </c>
    </row>
    <row r="47" spans="1:35">
      <c r="A47" t="s">
        <v>35</v>
      </c>
      <c r="B47" t="s">
        <v>46</v>
      </c>
      <c r="C47" t="s">
        <v>37</v>
      </c>
      <c r="D47" t="s">
        <v>47</v>
      </c>
      <c r="E47">
        <v>45</v>
      </c>
      <c r="F47">
        <f t="shared" si="0"/>
        <v>0</v>
      </c>
      <c r="G47">
        <v>5</v>
      </c>
      <c r="H47">
        <v>4</v>
      </c>
      <c r="I47" t="s">
        <v>39</v>
      </c>
      <c r="J47">
        <v>1.3207487000036</v>
      </c>
      <c r="K47" t="s">
        <v>40</v>
      </c>
      <c r="L47">
        <v>4</v>
      </c>
      <c r="M47">
        <v>5</v>
      </c>
      <c r="N47">
        <v>45</v>
      </c>
      <c r="O47">
        <v>0</v>
      </c>
      <c r="P47">
        <v>49.0810767000075</v>
      </c>
      <c r="R47">
        <v>49.064647999999501</v>
      </c>
      <c r="S47">
        <v>49.0810767000075</v>
      </c>
      <c r="T47">
        <v>49.0810767000075</v>
      </c>
      <c r="U47">
        <v>49.0810767000075</v>
      </c>
      <c r="V47">
        <v>49.580712100025202</v>
      </c>
      <c r="W47">
        <v>50.080381100007799</v>
      </c>
      <c r="X47">
        <v>50.413897400023401</v>
      </c>
      <c r="Y47" t="s">
        <v>39</v>
      </c>
      <c r="Z47">
        <v>1.3207487000036</v>
      </c>
      <c r="AA47" t="s">
        <v>40</v>
      </c>
      <c r="AB47">
        <v>2</v>
      </c>
      <c r="AC47">
        <v>1</v>
      </c>
      <c r="AD47" t="s">
        <v>41</v>
      </c>
      <c r="AE47" t="s">
        <v>42</v>
      </c>
      <c r="AG47" t="s">
        <v>43</v>
      </c>
      <c r="AH47">
        <v>59.9952363698971</v>
      </c>
      <c r="AI47" t="s">
        <v>44</v>
      </c>
    </row>
    <row r="48" spans="1:35">
      <c r="A48" t="s">
        <v>35</v>
      </c>
      <c r="B48" t="s">
        <v>36</v>
      </c>
      <c r="C48" t="s">
        <v>37</v>
      </c>
      <c r="D48" t="s">
        <v>38</v>
      </c>
      <c r="E48">
        <v>46</v>
      </c>
      <c r="F48">
        <f t="shared" si="0"/>
        <v>0</v>
      </c>
      <c r="G48">
        <v>6</v>
      </c>
      <c r="H48">
        <v>4</v>
      </c>
      <c r="I48" t="s">
        <v>39</v>
      </c>
      <c r="J48">
        <v>1.21608569996897</v>
      </c>
      <c r="K48" t="s">
        <v>40</v>
      </c>
      <c r="L48">
        <v>4</v>
      </c>
      <c r="M48">
        <v>6</v>
      </c>
      <c r="N48">
        <v>46</v>
      </c>
      <c r="O48">
        <v>5</v>
      </c>
      <c r="P48">
        <v>50.430240300018298</v>
      </c>
      <c r="R48">
        <v>50.414321499993001</v>
      </c>
      <c r="S48">
        <v>50.430240300018298</v>
      </c>
      <c r="T48">
        <v>50.430240300018298</v>
      </c>
      <c r="U48">
        <v>50.430240300018298</v>
      </c>
      <c r="V48">
        <v>50.930231900012501</v>
      </c>
      <c r="W48">
        <v>51.430094600014797</v>
      </c>
      <c r="X48">
        <v>51.647307900013402</v>
      </c>
      <c r="Y48" t="s">
        <v>39</v>
      </c>
      <c r="Z48">
        <v>1.21608569996897</v>
      </c>
      <c r="AA48" t="s">
        <v>40</v>
      </c>
      <c r="AB48">
        <v>2</v>
      </c>
      <c r="AC48">
        <v>1</v>
      </c>
      <c r="AD48" t="s">
        <v>41</v>
      </c>
      <c r="AE48" t="s">
        <v>42</v>
      </c>
      <c r="AG48" t="s">
        <v>43</v>
      </c>
      <c r="AH48">
        <v>59.9952363698971</v>
      </c>
      <c r="AI48" t="s">
        <v>44</v>
      </c>
    </row>
    <row r="49" spans="1:35">
      <c r="A49" t="s">
        <v>45</v>
      </c>
      <c r="B49" t="s">
        <v>36</v>
      </c>
      <c r="C49" t="s">
        <v>39</v>
      </c>
      <c r="D49" t="s">
        <v>47</v>
      </c>
      <c r="E49">
        <v>47</v>
      </c>
      <c r="F49">
        <f t="shared" si="0"/>
        <v>0</v>
      </c>
      <c r="G49">
        <v>7</v>
      </c>
      <c r="H49">
        <v>4</v>
      </c>
      <c r="I49" t="s">
        <v>37</v>
      </c>
      <c r="J49">
        <v>1.05280380003387</v>
      </c>
      <c r="K49" t="s">
        <v>40</v>
      </c>
      <c r="L49">
        <v>4</v>
      </c>
      <c r="M49">
        <v>7</v>
      </c>
      <c r="N49">
        <v>47</v>
      </c>
      <c r="O49">
        <v>7</v>
      </c>
      <c r="P49">
        <v>51.663146800012299</v>
      </c>
      <c r="R49">
        <v>51.648637600010197</v>
      </c>
      <c r="S49">
        <v>51.663146800012299</v>
      </c>
      <c r="T49">
        <v>51.663146800012299</v>
      </c>
      <c r="U49">
        <v>51.663146800012299</v>
      </c>
      <c r="V49">
        <v>52.163246100011698</v>
      </c>
      <c r="W49">
        <v>52.663102700025703</v>
      </c>
      <c r="X49">
        <v>52.730668900010599</v>
      </c>
      <c r="Y49" t="s">
        <v>37</v>
      </c>
      <c r="Z49">
        <v>1.05280380003387</v>
      </c>
      <c r="AA49" t="s">
        <v>40</v>
      </c>
      <c r="AB49">
        <v>2</v>
      </c>
      <c r="AC49">
        <v>1</v>
      </c>
      <c r="AD49" t="s">
        <v>41</v>
      </c>
      <c r="AE49" t="s">
        <v>42</v>
      </c>
      <c r="AG49" t="s">
        <v>43</v>
      </c>
      <c r="AH49">
        <v>59.9952363698971</v>
      </c>
      <c r="AI49" t="s">
        <v>44</v>
      </c>
    </row>
    <row r="50" spans="1:35">
      <c r="A50" t="s">
        <v>35</v>
      </c>
      <c r="B50" t="s">
        <v>46</v>
      </c>
      <c r="C50" t="s">
        <v>37</v>
      </c>
      <c r="D50" t="s">
        <v>47</v>
      </c>
      <c r="E50">
        <v>48</v>
      </c>
      <c r="F50">
        <f t="shared" si="0"/>
        <v>0</v>
      </c>
      <c r="G50">
        <v>8</v>
      </c>
      <c r="H50">
        <v>4</v>
      </c>
      <c r="I50" t="s">
        <v>39</v>
      </c>
      <c r="J50">
        <v>0.884011399990413</v>
      </c>
      <c r="K50" t="s">
        <v>40</v>
      </c>
      <c r="L50">
        <v>4</v>
      </c>
      <c r="M50">
        <v>8</v>
      </c>
      <c r="N50">
        <v>48</v>
      </c>
      <c r="O50">
        <v>4</v>
      </c>
      <c r="P50">
        <v>52.7463019000133</v>
      </c>
      <c r="R50">
        <v>52.732298000017103</v>
      </c>
      <c r="S50">
        <v>52.7463019000133</v>
      </c>
      <c r="T50">
        <v>52.7463019000133</v>
      </c>
      <c r="U50">
        <v>52.7463019000133</v>
      </c>
      <c r="V50">
        <v>53.246282999985802</v>
      </c>
      <c r="X50">
        <v>53.646721200027898</v>
      </c>
      <c r="Y50" t="s">
        <v>39</v>
      </c>
      <c r="Z50">
        <v>0.884011399990413</v>
      </c>
      <c r="AA50" t="s">
        <v>40</v>
      </c>
      <c r="AB50">
        <v>2</v>
      </c>
      <c r="AC50">
        <v>1</v>
      </c>
      <c r="AD50" t="s">
        <v>41</v>
      </c>
      <c r="AE50" t="s">
        <v>42</v>
      </c>
      <c r="AG50" t="s">
        <v>43</v>
      </c>
      <c r="AH50">
        <v>59.9952363698971</v>
      </c>
      <c r="AI50" t="s">
        <v>44</v>
      </c>
    </row>
    <row r="51" spans="1:35">
      <c r="A51" t="s">
        <v>45</v>
      </c>
      <c r="B51" t="s">
        <v>46</v>
      </c>
      <c r="C51" t="s">
        <v>39</v>
      </c>
      <c r="D51" t="s">
        <v>38</v>
      </c>
      <c r="E51">
        <v>49</v>
      </c>
      <c r="F51">
        <f t="shared" si="0"/>
        <v>0</v>
      </c>
      <c r="G51">
        <v>9</v>
      </c>
      <c r="H51">
        <v>4</v>
      </c>
      <c r="I51" t="s">
        <v>37</v>
      </c>
      <c r="J51">
        <v>1.0612352999742101</v>
      </c>
      <c r="K51" t="s">
        <v>40</v>
      </c>
      <c r="L51">
        <v>4</v>
      </c>
      <c r="M51">
        <v>9</v>
      </c>
      <c r="N51">
        <v>49</v>
      </c>
      <c r="O51">
        <v>2</v>
      </c>
      <c r="P51">
        <v>53.662803000013803</v>
      </c>
      <c r="R51">
        <v>53.648147800005901</v>
      </c>
      <c r="S51">
        <v>53.662803000013803</v>
      </c>
      <c r="T51">
        <v>53.662803000013803</v>
      </c>
      <c r="U51">
        <v>53.662803000013803</v>
      </c>
      <c r="V51">
        <v>54.1627275000209</v>
      </c>
      <c r="W51">
        <v>54.6623755000182</v>
      </c>
      <c r="X51">
        <v>54.729977099981603</v>
      </c>
      <c r="Y51" t="s">
        <v>37</v>
      </c>
      <c r="Z51">
        <v>1.0612352999742101</v>
      </c>
      <c r="AA51" t="s">
        <v>40</v>
      </c>
      <c r="AB51">
        <v>2</v>
      </c>
      <c r="AC51">
        <v>1</v>
      </c>
      <c r="AD51" t="s">
        <v>41</v>
      </c>
      <c r="AE51" t="s">
        <v>42</v>
      </c>
      <c r="AG51" t="s">
        <v>43</v>
      </c>
      <c r="AH51">
        <v>59.9952363698971</v>
      </c>
      <c r="AI51" t="s">
        <v>44</v>
      </c>
    </row>
    <row r="52" spans="1:35">
      <c r="A52" t="s">
        <v>45</v>
      </c>
      <c r="B52" t="s">
        <v>36</v>
      </c>
      <c r="C52" t="s">
        <v>39</v>
      </c>
      <c r="D52" t="s">
        <v>47</v>
      </c>
      <c r="E52">
        <v>50</v>
      </c>
      <c r="F52">
        <f t="shared" si="0"/>
        <v>0</v>
      </c>
      <c r="G52">
        <v>0</v>
      </c>
      <c r="H52">
        <v>5</v>
      </c>
      <c r="I52" t="s">
        <v>37</v>
      </c>
      <c r="J52">
        <v>0.83401160000357699</v>
      </c>
      <c r="K52" t="s">
        <v>40</v>
      </c>
      <c r="L52">
        <v>5</v>
      </c>
      <c r="M52">
        <v>0</v>
      </c>
      <c r="N52">
        <v>50</v>
      </c>
      <c r="O52">
        <v>7</v>
      </c>
      <c r="P52">
        <v>54.745634199993198</v>
      </c>
      <c r="R52">
        <v>54.731564400019103</v>
      </c>
      <c r="S52">
        <v>54.745634199993198</v>
      </c>
      <c r="T52">
        <v>54.745634199993198</v>
      </c>
      <c r="U52">
        <v>54.745634199993198</v>
      </c>
      <c r="V52">
        <v>55.245699300023198</v>
      </c>
      <c r="X52">
        <v>55.595961000013602</v>
      </c>
      <c r="Y52" t="s">
        <v>37</v>
      </c>
      <c r="Z52">
        <v>0.83401160000357699</v>
      </c>
      <c r="AA52" t="s">
        <v>40</v>
      </c>
      <c r="AB52">
        <v>2</v>
      </c>
      <c r="AC52">
        <v>1</v>
      </c>
      <c r="AD52" t="s">
        <v>41</v>
      </c>
      <c r="AE52" t="s">
        <v>42</v>
      </c>
      <c r="AG52" t="s">
        <v>43</v>
      </c>
      <c r="AH52">
        <v>59.9952363698971</v>
      </c>
      <c r="AI52" t="s">
        <v>44</v>
      </c>
    </row>
    <row r="53" spans="1:35">
      <c r="A53" t="s">
        <v>45</v>
      </c>
      <c r="B53" t="s">
        <v>36</v>
      </c>
      <c r="C53" t="s">
        <v>39</v>
      </c>
      <c r="D53" t="s">
        <v>47</v>
      </c>
      <c r="E53">
        <v>51</v>
      </c>
      <c r="F53">
        <f t="shared" si="0"/>
        <v>0</v>
      </c>
      <c r="G53">
        <v>1</v>
      </c>
      <c r="H53">
        <v>5</v>
      </c>
      <c r="I53" t="s">
        <v>37</v>
      </c>
      <c r="J53">
        <v>0.64638559997547396</v>
      </c>
      <c r="K53" t="s">
        <v>40</v>
      </c>
      <c r="L53">
        <v>5</v>
      </c>
      <c r="M53">
        <v>1</v>
      </c>
      <c r="N53">
        <v>51</v>
      </c>
      <c r="O53">
        <v>3</v>
      </c>
      <c r="P53">
        <v>55.611982200003602</v>
      </c>
      <c r="R53">
        <v>55.5965942000038</v>
      </c>
      <c r="S53">
        <v>55.611982200003602</v>
      </c>
      <c r="T53">
        <v>55.611982200003602</v>
      </c>
      <c r="U53">
        <v>55.611982200003602</v>
      </c>
      <c r="V53">
        <v>56.111995999992303</v>
      </c>
      <c r="X53">
        <v>56.262783500016603</v>
      </c>
      <c r="Y53" t="s">
        <v>37</v>
      </c>
      <c r="Z53">
        <v>0.64638559997547396</v>
      </c>
      <c r="AA53" t="s">
        <v>40</v>
      </c>
      <c r="AB53">
        <v>2</v>
      </c>
      <c r="AC53">
        <v>1</v>
      </c>
      <c r="AD53" t="s">
        <v>41</v>
      </c>
      <c r="AE53" t="s">
        <v>42</v>
      </c>
      <c r="AG53" t="s">
        <v>43</v>
      </c>
      <c r="AH53">
        <v>59.9952363698971</v>
      </c>
      <c r="AI53" t="s">
        <v>44</v>
      </c>
    </row>
    <row r="54" spans="1:35">
      <c r="A54" t="s">
        <v>35</v>
      </c>
      <c r="B54" t="s">
        <v>36</v>
      </c>
      <c r="C54" t="s">
        <v>37</v>
      </c>
      <c r="D54" t="s">
        <v>38</v>
      </c>
      <c r="E54">
        <v>52</v>
      </c>
      <c r="F54">
        <f t="shared" si="0"/>
        <v>0</v>
      </c>
      <c r="G54">
        <v>2</v>
      </c>
      <c r="H54">
        <v>5</v>
      </c>
      <c r="I54" t="s">
        <v>39</v>
      </c>
      <c r="J54">
        <v>1.16396550001809</v>
      </c>
      <c r="K54" t="s">
        <v>40</v>
      </c>
      <c r="L54">
        <v>5</v>
      </c>
      <c r="M54">
        <v>2</v>
      </c>
      <c r="N54">
        <v>52</v>
      </c>
      <c r="O54">
        <v>5</v>
      </c>
      <c r="P54">
        <v>56.278445600008098</v>
      </c>
      <c r="R54">
        <v>56.264106800023001</v>
      </c>
      <c r="S54">
        <v>56.278445600008098</v>
      </c>
      <c r="T54">
        <v>56.278445600008098</v>
      </c>
      <c r="U54">
        <v>56.278445600008098</v>
      </c>
      <c r="V54">
        <v>56.7783575999783</v>
      </c>
      <c r="W54">
        <v>57.278402800031401</v>
      </c>
      <c r="X54">
        <v>57.445776299980899</v>
      </c>
      <c r="Y54" t="s">
        <v>39</v>
      </c>
      <c r="Z54">
        <v>1.16396550001809</v>
      </c>
      <c r="AA54" t="s">
        <v>40</v>
      </c>
      <c r="AB54">
        <v>2</v>
      </c>
      <c r="AC54">
        <v>1</v>
      </c>
      <c r="AD54" t="s">
        <v>41</v>
      </c>
      <c r="AE54" t="s">
        <v>42</v>
      </c>
      <c r="AG54" t="s">
        <v>43</v>
      </c>
      <c r="AH54">
        <v>59.9952363698971</v>
      </c>
      <c r="AI54" t="s">
        <v>44</v>
      </c>
    </row>
    <row r="55" spans="1:35">
      <c r="A55" t="s">
        <v>35</v>
      </c>
      <c r="B55" t="s">
        <v>46</v>
      </c>
      <c r="C55" t="s">
        <v>37</v>
      </c>
      <c r="D55" t="s">
        <v>47</v>
      </c>
      <c r="E55">
        <v>53</v>
      </c>
      <c r="F55">
        <f t="shared" si="0"/>
        <v>0</v>
      </c>
      <c r="G55">
        <v>3</v>
      </c>
      <c r="H55">
        <v>5</v>
      </c>
      <c r="I55" t="s">
        <v>39</v>
      </c>
      <c r="J55">
        <v>0.95293520000996002</v>
      </c>
      <c r="K55" t="s">
        <v>40</v>
      </c>
      <c r="L55">
        <v>5</v>
      </c>
      <c r="M55">
        <v>3</v>
      </c>
      <c r="N55">
        <v>53</v>
      </c>
      <c r="O55">
        <v>8</v>
      </c>
      <c r="P55">
        <v>57.461320500005897</v>
      </c>
      <c r="R55">
        <v>57.447216400003498</v>
      </c>
      <c r="S55">
        <v>57.461320500005897</v>
      </c>
      <c r="T55">
        <v>57.461320500005897</v>
      </c>
      <c r="U55">
        <v>57.461320500005897</v>
      </c>
      <c r="V55">
        <v>57.961472299997602</v>
      </c>
      <c r="X55">
        <v>58.428780800022601</v>
      </c>
      <c r="Y55" t="s">
        <v>39</v>
      </c>
      <c r="Z55">
        <v>0.95293520000996002</v>
      </c>
      <c r="AA55" t="s">
        <v>40</v>
      </c>
      <c r="AB55">
        <v>2</v>
      </c>
      <c r="AC55">
        <v>1</v>
      </c>
      <c r="AD55" t="s">
        <v>41</v>
      </c>
      <c r="AE55" t="s">
        <v>42</v>
      </c>
      <c r="AG55" t="s">
        <v>43</v>
      </c>
      <c r="AH55">
        <v>59.9952363698971</v>
      </c>
      <c r="AI55" t="s">
        <v>44</v>
      </c>
    </row>
    <row r="56" spans="1:35">
      <c r="A56" t="s">
        <v>35</v>
      </c>
      <c r="B56" t="s">
        <v>46</v>
      </c>
      <c r="C56" t="s">
        <v>37</v>
      </c>
      <c r="D56" t="s">
        <v>47</v>
      </c>
      <c r="E56">
        <v>54</v>
      </c>
      <c r="F56">
        <f t="shared" si="0"/>
        <v>1</v>
      </c>
      <c r="G56">
        <v>4</v>
      </c>
      <c r="H56">
        <v>5</v>
      </c>
      <c r="I56" t="s">
        <v>37</v>
      </c>
      <c r="J56">
        <v>10.9797049000044</v>
      </c>
      <c r="K56" t="s">
        <v>40</v>
      </c>
      <c r="L56">
        <v>5</v>
      </c>
      <c r="M56">
        <v>4</v>
      </c>
      <c r="N56">
        <v>54</v>
      </c>
      <c r="O56">
        <v>0</v>
      </c>
      <c r="P56">
        <v>58.444472100003601</v>
      </c>
      <c r="R56">
        <v>58.430263200017997</v>
      </c>
      <c r="S56">
        <v>58.444472100003601</v>
      </c>
      <c r="T56">
        <v>58.444472100003601</v>
      </c>
      <c r="U56">
        <v>58.444472100003601</v>
      </c>
      <c r="V56">
        <v>58.944224699982399</v>
      </c>
      <c r="W56">
        <v>59.444236500014</v>
      </c>
      <c r="X56">
        <v>69.441292200004597</v>
      </c>
      <c r="Y56" t="s">
        <v>37</v>
      </c>
      <c r="Z56">
        <v>10.9797049000044</v>
      </c>
      <c r="AA56" t="s">
        <v>40</v>
      </c>
      <c r="AB56">
        <v>2</v>
      </c>
      <c r="AC56">
        <v>1</v>
      </c>
      <c r="AD56" t="s">
        <v>41</v>
      </c>
      <c r="AE56" t="s">
        <v>42</v>
      </c>
      <c r="AG56" t="s">
        <v>43</v>
      </c>
      <c r="AH56">
        <v>59.9952363698971</v>
      </c>
      <c r="AI56" t="s">
        <v>44</v>
      </c>
    </row>
    <row r="57" spans="1:35">
      <c r="A57" t="s">
        <v>45</v>
      </c>
      <c r="B57" t="s">
        <v>46</v>
      </c>
      <c r="C57" t="s">
        <v>39</v>
      </c>
      <c r="D57" t="s">
        <v>38</v>
      </c>
      <c r="E57">
        <v>55</v>
      </c>
      <c r="F57">
        <f t="shared" si="0"/>
        <v>0</v>
      </c>
      <c r="G57">
        <v>5</v>
      </c>
      <c r="H57">
        <v>5</v>
      </c>
      <c r="I57" t="s">
        <v>37</v>
      </c>
      <c r="J57">
        <v>0.58278519997838796</v>
      </c>
      <c r="K57" t="s">
        <v>40</v>
      </c>
      <c r="L57">
        <v>5</v>
      </c>
      <c r="M57">
        <v>5</v>
      </c>
      <c r="N57">
        <v>55</v>
      </c>
      <c r="O57">
        <v>6</v>
      </c>
      <c r="P57">
        <v>69.457562100025797</v>
      </c>
      <c r="R57">
        <v>69.441934800008298</v>
      </c>
      <c r="S57">
        <v>69.457562100025797</v>
      </c>
      <c r="T57">
        <v>69.457562100025797</v>
      </c>
      <c r="U57">
        <v>69.457562100025797</v>
      </c>
      <c r="V57">
        <v>69.957500800024704</v>
      </c>
      <c r="X57">
        <v>70.041495400015194</v>
      </c>
      <c r="Y57" t="s">
        <v>37</v>
      </c>
      <c r="Z57">
        <v>0.58278519997838796</v>
      </c>
      <c r="AA57" t="s">
        <v>40</v>
      </c>
      <c r="AB57">
        <v>2</v>
      </c>
      <c r="AC57">
        <v>1</v>
      </c>
      <c r="AD57" t="s">
        <v>41</v>
      </c>
      <c r="AE57" t="s">
        <v>42</v>
      </c>
      <c r="AG57" t="s">
        <v>43</v>
      </c>
      <c r="AH57">
        <v>59.9952363698971</v>
      </c>
      <c r="AI57" t="s">
        <v>44</v>
      </c>
    </row>
    <row r="58" spans="1:35">
      <c r="A58" t="s">
        <v>35</v>
      </c>
      <c r="B58" t="s">
        <v>46</v>
      </c>
      <c r="C58" t="s">
        <v>37</v>
      </c>
      <c r="D58" t="s">
        <v>47</v>
      </c>
      <c r="E58">
        <v>56</v>
      </c>
      <c r="F58">
        <f t="shared" si="0"/>
        <v>1</v>
      </c>
      <c r="G58">
        <v>6</v>
      </c>
      <c r="H58">
        <v>5</v>
      </c>
      <c r="I58" t="s">
        <v>37</v>
      </c>
      <c r="J58">
        <v>4.3135179000091703</v>
      </c>
      <c r="K58" t="s">
        <v>40</v>
      </c>
      <c r="L58">
        <v>5</v>
      </c>
      <c r="M58">
        <v>6</v>
      </c>
      <c r="N58">
        <v>56</v>
      </c>
      <c r="O58">
        <v>4</v>
      </c>
      <c r="P58">
        <v>70.057236600026897</v>
      </c>
      <c r="R58">
        <v>70.042599499982302</v>
      </c>
      <c r="S58">
        <v>70.057236600026897</v>
      </c>
      <c r="T58">
        <v>70.057236600026897</v>
      </c>
      <c r="U58">
        <v>70.057236600026897</v>
      </c>
      <c r="V58">
        <v>70.557304800022393</v>
      </c>
      <c r="W58">
        <v>71.057148199994103</v>
      </c>
      <c r="X58">
        <v>74.373054300027405</v>
      </c>
      <c r="Y58" t="s">
        <v>37</v>
      </c>
      <c r="Z58">
        <v>4.3135179000091703</v>
      </c>
      <c r="AA58" t="s">
        <v>40</v>
      </c>
      <c r="AB58">
        <v>2</v>
      </c>
      <c r="AC58">
        <v>1</v>
      </c>
      <c r="AD58" t="s">
        <v>41</v>
      </c>
      <c r="AE58" t="s">
        <v>42</v>
      </c>
      <c r="AG58" t="s">
        <v>43</v>
      </c>
      <c r="AH58">
        <v>59.9952363698971</v>
      </c>
      <c r="AI58" t="s">
        <v>44</v>
      </c>
    </row>
    <row r="59" spans="1:35">
      <c r="A59" t="s">
        <v>35</v>
      </c>
      <c r="B59" t="s">
        <v>36</v>
      </c>
      <c r="C59" t="s">
        <v>37</v>
      </c>
      <c r="D59" t="s">
        <v>38</v>
      </c>
      <c r="E59">
        <v>57</v>
      </c>
      <c r="F59">
        <f t="shared" si="0"/>
        <v>1</v>
      </c>
      <c r="G59">
        <v>7</v>
      </c>
      <c r="H59">
        <v>5</v>
      </c>
      <c r="I59" t="s">
        <v>37</v>
      </c>
      <c r="J59">
        <v>4.2144861999549903</v>
      </c>
      <c r="K59" t="s">
        <v>40</v>
      </c>
      <c r="L59">
        <v>5</v>
      </c>
      <c r="M59">
        <v>7</v>
      </c>
      <c r="N59">
        <v>57</v>
      </c>
      <c r="O59">
        <v>1</v>
      </c>
      <c r="P59">
        <v>74.389290100021697</v>
      </c>
      <c r="R59">
        <v>74.374055700027299</v>
      </c>
      <c r="S59">
        <v>74.389290100021697</v>
      </c>
      <c r="T59">
        <v>74.389290100021697</v>
      </c>
      <c r="U59">
        <v>74.389290100021697</v>
      </c>
      <c r="V59">
        <v>74.889060700021204</v>
      </c>
      <c r="W59">
        <v>75.388835299992905</v>
      </c>
      <c r="X59">
        <v>78.604962499986797</v>
      </c>
      <c r="Y59" t="s">
        <v>37</v>
      </c>
      <c r="Z59">
        <v>4.2144861999549903</v>
      </c>
      <c r="AA59" t="s">
        <v>40</v>
      </c>
      <c r="AB59">
        <v>2</v>
      </c>
      <c r="AC59">
        <v>1</v>
      </c>
      <c r="AD59" t="s">
        <v>41</v>
      </c>
      <c r="AE59" t="s">
        <v>42</v>
      </c>
      <c r="AG59" t="s">
        <v>43</v>
      </c>
      <c r="AH59">
        <v>59.9952363698971</v>
      </c>
      <c r="AI59" t="s">
        <v>44</v>
      </c>
    </row>
    <row r="60" spans="1:35">
      <c r="A60" t="s">
        <v>35</v>
      </c>
      <c r="B60" t="s">
        <v>36</v>
      </c>
      <c r="C60" t="s">
        <v>37</v>
      </c>
      <c r="D60" t="s">
        <v>38</v>
      </c>
      <c r="E60">
        <v>58</v>
      </c>
      <c r="F60">
        <f t="shared" si="0"/>
        <v>1</v>
      </c>
      <c r="G60">
        <v>8</v>
      </c>
      <c r="H60">
        <v>5</v>
      </c>
      <c r="I60" t="s">
        <v>37</v>
      </c>
      <c r="J60">
        <v>5.4415577999898197</v>
      </c>
      <c r="K60" t="s">
        <v>40</v>
      </c>
      <c r="L60">
        <v>5</v>
      </c>
      <c r="M60">
        <v>8</v>
      </c>
      <c r="N60">
        <v>58</v>
      </c>
      <c r="O60">
        <v>9</v>
      </c>
      <c r="P60">
        <v>78.621026900014797</v>
      </c>
      <c r="R60">
        <v>78.606123599980407</v>
      </c>
      <c r="S60">
        <v>78.621026900014797</v>
      </c>
      <c r="T60">
        <v>78.621026900014797</v>
      </c>
      <c r="U60">
        <v>78.621026900014797</v>
      </c>
      <c r="V60">
        <v>79.121106699982107</v>
      </c>
      <c r="W60">
        <v>79.620867000019601</v>
      </c>
      <c r="X60">
        <v>84.069907700002602</v>
      </c>
      <c r="Y60" t="s">
        <v>37</v>
      </c>
      <c r="Z60">
        <v>5.4415577999898197</v>
      </c>
      <c r="AA60" t="s">
        <v>40</v>
      </c>
      <c r="AB60">
        <v>2</v>
      </c>
      <c r="AC60">
        <v>1</v>
      </c>
      <c r="AD60" t="s">
        <v>41</v>
      </c>
      <c r="AE60" t="s">
        <v>42</v>
      </c>
      <c r="AG60" t="s">
        <v>43</v>
      </c>
      <c r="AH60">
        <v>59.9952363698971</v>
      </c>
      <c r="AI60" t="s">
        <v>44</v>
      </c>
    </row>
    <row r="61" spans="1:35">
      <c r="A61" t="s">
        <v>45</v>
      </c>
      <c r="B61" t="s">
        <v>46</v>
      </c>
      <c r="C61" t="s">
        <v>39</v>
      </c>
      <c r="D61" t="s">
        <v>38</v>
      </c>
      <c r="E61">
        <v>59</v>
      </c>
      <c r="F61">
        <f t="shared" si="0"/>
        <v>0</v>
      </c>
      <c r="G61">
        <v>9</v>
      </c>
      <c r="H61">
        <v>5</v>
      </c>
      <c r="I61" t="s">
        <v>37</v>
      </c>
      <c r="J61">
        <v>0.64662379998480901</v>
      </c>
      <c r="K61" t="s">
        <v>40</v>
      </c>
      <c r="L61">
        <v>5</v>
      </c>
      <c r="M61">
        <v>9</v>
      </c>
      <c r="N61">
        <v>59</v>
      </c>
      <c r="O61">
        <v>2</v>
      </c>
      <c r="P61">
        <v>84.086132500029606</v>
      </c>
      <c r="R61">
        <v>84.070981100026899</v>
      </c>
      <c r="S61">
        <v>84.086132500029606</v>
      </c>
      <c r="T61">
        <v>84.086132500029606</v>
      </c>
      <c r="U61">
        <v>84.086132500029606</v>
      </c>
      <c r="V61">
        <v>84.585865999979404</v>
      </c>
      <c r="X61">
        <v>84.736342700023599</v>
      </c>
      <c r="Y61" t="s">
        <v>37</v>
      </c>
      <c r="Z61">
        <v>0.64662379998480901</v>
      </c>
      <c r="AA61" t="s">
        <v>40</v>
      </c>
      <c r="AB61">
        <v>2</v>
      </c>
      <c r="AC61">
        <v>1</v>
      </c>
      <c r="AD61" t="s">
        <v>41</v>
      </c>
      <c r="AE61" t="s">
        <v>42</v>
      </c>
      <c r="AG61" t="s">
        <v>43</v>
      </c>
      <c r="AH61">
        <v>59.9952363698971</v>
      </c>
      <c r="AI61" t="s">
        <v>44</v>
      </c>
    </row>
    <row r="62" spans="1:35">
      <c r="A62" t="s">
        <v>35</v>
      </c>
      <c r="B62" t="s">
        <v>36</v>
      </c>
      <c r="C62" t="s">
        <v>37</v>
      </c>
      <c r="D62" t="s">
        <v>38</v>
      </c>
      <c r="E62">
        <v>60</v>
      </c>
      <c r="F62">
        <f t="shared" si="0"/>
        <v>1</v>
      </c>
      <c r="G62">
        <v>0</v>
      </c>
      <c r="H62">
        <v>6</v>
      </c>
      <c r="I62" t="s">
        <v>37</v>
      </c>
      <c r="J62">
        <v>2.5990594999748202</v>
      </c>
      <c r="K62" t="s">
        <v>40</v>
      </c>
      <c r="L62">
        <v>6</v>
      </c>
      <c r="M62">
        <v>0</v>
      </c>
      <c r="N62">
        <v>60</v>
      </c>
      <c r="O62">
        <v>5</v>
      </c>
      <c r="P62">
        <v>84.752448700019102</v>
      </c>
      <c r="R62">
        <v>84.737445799983107</v>
      </c>
      <c r="S62">
        <v>84.752448700019102</v>
      </c>
      <c r="T62">
        <v>84.752448700019102</v>
      </c>
      <c r="U62">
        <v>84.752448700019102</v>
      </c>
      <c r="V62">
        <v>85.252351199975195</v>
      </c>
      <c r="W62">
        <v>85.752167100028601</v>
      </c>
      <c r="X62">
        <v>87.368650400021494</v>
      </c>
      <c r="Y62" t="s">
        <v>37</v>
      </c>
      <c r="Z62">
        <v>2.5990594999748202</v>
      </c>
      <c r="AA62" t="s">
        <v>40</v>
      </c>
      <c r="AB62">
        <v>2</v>
      </c>
      <c r="AC62">
        <v>1</v>
      </c>
      <c r="AD62" t="s">
        <v>41</v>
      </c>
      <c r="AE62" t="s">
        <v>42</v>
      </c>
      <c r="AG62" t="s">
        <v>43</v>
      </c>
      <c r="AH62">
        <v>59.9952363698971</v>
      </c>
      <c r="AI62" t="s">
        <v>44</v>
      </c>
    </row>
    <row r="63" spans="1:35">
      <c r="A63" t="s">
        <v>45</v>
      </c>
      <c r="B63" t="s">
        <v>46</v>
      </c>
      <c r="C63" t="s">
        <v>39</v>
      </c>
      <c r="D63" t="s">
        <v>38</v>
      </c>
      <c r="E63">
        <v>61</v>
      </c>
      <c r="F63">
        <f t="shared" si="0"/>
        <v>0</v>
      </c>
      <c r="G63">
        <v>1</v>
      </c>
      <c r="H63">
        <v>6</v>
      </c>
      <c r="I63" t="s">
        <v>37</v>
      </c>
      <c r="J63">
        <v>0.96882780001033098</v>
      </c>
      <c r="K63" t="s">
        <v>40</v>
      </c>
      <c r="L63">
        <v>6</v>
      </c>
      <c r="M63">
        <v>1</v>
      </c>
      <c r="N63">
        <v>61</v>
      </c>
      <c r="O63">
        <v>2</v>
      </c>
      <c r="P63">
        <v>87.384652799984906</v>
      </c>
      <c r="R63">
        <v>87.369373099994803</v>
      </c>
      <c r="S63">
        <v>87.384652799984906</v>
      </c>
      <c r="T63">
        <v>87.384652799984906</v>
      </c>
      <c r="U63">
        <v>87.384652799984906</v>
      </c>
      <c r="V63">
        <v>87.884683899988801</v>
      </c>
      <c r="W63">
        <v>88.384503900015204</v>
      </c>
      <c r="X63">
        <v>88.3684305999777</v>
      </c>
      <c r="Y63" t="s">
        <v>37</v>
      </c>
      <c r="Z63">
        <v>0.96882780001033098</v>
      </c>
      <c r="AA63" t="s">
        <v>40</v>
      </c>
      <c r="AB63">
        <v>2</v>
      </c>
      <c r="AC63">
        <v>1</v>
      </c>
      <c r="AD63" t="s">
        <v>41</v>
      </c>
      <c r="AE63" t="s">
        <v>42</v>
      </c>
      <c r="AG63" t="s">
        <v>43</v>
      </c>
      <c r="AH63">
        <v>59.9952363698971</v>
      </c>
      <c r="AI63" t="s">
        <v>44</v>
      </c>
    </row>
    <row r="64" spans="1:35">
      <c r="A64" t="s">
        <v>35</v>
      </c>
      <c r="B64" t="s">
        <v>46</v>
      </c>
      <c r="C64" t="s">
        <v>37</v>
      </c>
      <c r="D64" t="s">
        <v>47</v>
      </c>
      <c r="E64">
        <v>62</v>
      </c>
      <c r="F64">
        <f t="shared" si="0"/>
        <v>1</v>
      </c>
      <c r="G64">
        <v>2</v>
      </c>
      <c r="H64">
        <v>6</v>
      </c>
      <c r="I64" t="s">
        <v>37</v>
      </c>
      <c r="J64">
        <v>5.4264011000050196</v>
      </c>
      <c r="K64" t="s">
        <v>40</v>
      </c>
      <c r="L64">
        <v>6</v>
      </c>
      <c r="M64">
        <v>2</v>
      </c>
      <c r="N64">
        <v>62</v>
      </c>
      <c r="O64">
        <v>4</v>
      </c>
      <c r="P64">
        <v>88.384503900015204</v>
      </c>
      <c r="R64">
        <v>88.369417399982893</v>
      </c>
      <c r="S64">
        <v>88.384503900015204</v>
      </c>
      <c r="T64">
        <v>88.384503900015204</v>
      </c>
      <c r="U64">
        <v>88.384503900015204</v>
      </c>
      <c r="V64">
        <v>88.884736099978895</v>
      </c>
      <c r="W64">
        <v>89.384045400016404</v>
      </c>
      <c r="X64">
        <v>93.816535299993106</v>
      </c>
      <c r="Y64" t="s">
        <v>37</v>
      </c>
      <c r="Z64">
        <v>5.4264011000050196</v>
      </c>
      <c r="AA64" t="s">
        <v>40</v>
      </c>
      <c r="AB64">
        <v>2</v>
      </c>
      <c r="AC64">
        <v>1</v>
      </c>
      <c r="AD64" t="s">
        <v>41</v>
      </c>
      <c r="AE64" t="s">
        <v>42</v>
      </c>
      <c r="AG64" t="s">
        <v>43</v>
      </c>
      <c r="AH64">
        <v>59.9952363698971</v>
      </c>
      <c r="AI64" t="s">
        <v>44</v>
      </c>
    </row>
    <row r="65" spans="1:35">
      <c r="A65" t="s">
        <v>45</v>
      </c>
      <c r="B65" t="s">
        <v>36</v>
      </c>
      <c r="C65" t="s">
        <v>39</v>
      </c>
      <c r="D65" t="s">
        <v>47</v>
      </c>
      <c r="E65">
        <v>63</v>
      </c>
      <c r="F65">
        <f t="shared" si="0"/>
        <v>0</v>
      </c>
      <c r="G65">
        <v>3</v>
      </c>
      <c r="H65">
        <v>6</v>
      </c>
      <c r="I65" t="s">
        <v>37</v>
      </c>
      <c r="J65">
        <v>4.36457979999249</v>
      </c>
      <c r="K65" t="s">
        <v>40</v>
      </c>
      <c r="L65">
        <v>6</v>
      </c>
      <c r="M65">
        <v>3</v>
      </c>
      <c r="N65">
        <v>63</v>
      </c>
      <c r="O65">
        <v>3</v>
      </c>
      <c r="P65">
        <v>93.832524000026694</v>
      </c>
      <c r="R65">
        <v>93.817688799986996</v>
      </c>
      <c r="S65">
        <v>93.832524000026694</v>
      </c>
      <c r="T65">
        <v>93.832524000026694</v>
      </c>
      <c r="U65">
        <v>93.832524000026694</v>
      </c>
      <c r="V65">
        <v>94.332732499984502</v>
      </c>
      <c r="W65">
        <v>94.832494699978199</v>
      </c>
      <c r="X65">
        <v>98.198586500016901</v>
      </c>
      <c r="Y65" t="s">
        <v>37</v>
      </c>
      <c r="Z65">
        <v>4.36457979999249</v>
      </c>
      <c r="AA65" t="s">
        <v>40</v>
      </c>
      <c r="AB65">
        <v>2</v>
      </c>
      <c r="AC65">
        <v>1</v>
      </c>
      <c r="AD65" t="s">
        <v>41</v>
      </c>
      <c r="AE65" t="s">
        <v>42</v>
      </c>
      <c r="AG65" t="s">
        <v>43</v>
      </c>
      <c r="AH65">
        <v>59.9952363698971</v>
      </c>
      <c r="AI65" t="s">
        <v>44</v>
      </c>
    </row>
    <row r="66" spans="1:35">
      <c r="A66" t="s">
        <v>45</v>
      </c>
      <c r="B66" t="s">
        <v>36</v>
      </c>
      <c r="C66" t="s">
        <v>39</v>
      </c>
      <c r="D66" t="s">
        <v>47</v>
      </c>
      <c r="E66">
        <v>64</v>
      </c>
      <c r="F66">
        <f t="shared" si="0"/>
        <v>0</v>
      </c>
      <c r="G66">
        <v>4</v>
      </c>
      <c r="H66">
        <v>6</v>
      </c>
      <c r="I66" t="s">
        <v>37</v>
      </c>
      <c r="J66">
        <v>0.66389329999219604</v>
      </c>
      <c r="K66" t="s">
        <v>40</v>
      </c>
      <c r="L66">
        <v>6</v>
      </c>
      <c r="M66">
        <v>4</v>
      </c>
      <c r="N66">
        <v>64</v>
      </c>
      <c r="O66">
        <v>7</v>
      </c>
      <c r="P66">
        <v>98.214391999994405</v>
      </c>
      <c r="R66">
        <v>98.199625000008297</v>
      </c>
      <c r="S66">
        <v>98.214391999994405</v>
      </c>
      <c r="T66">
        <v>98.214391999994405</v>
      </c>
      <c r="U66">
        <v>98.214391999994405</v>
      </c>
      <c r="V66">
        <v>98.7146825999952</v>
      </c>
      <c r="X66">
        <v>98.881665199994998</v>
      </c>
      <c r="Y66" t="s">
        <v>37</v>
      </c>
      <c r="Z66">
        <v>0.66389329999219604</v>
      </c>
      <c r="AA66" t="s">
        <v>40</v>
      </c>
      <c r="AB66">
        <v>2</v>
      </c>
      <c r="AC66">
        <v>1</v>
      </c>
      <c r="AD66" t="s">
        <v>41</v>
      </c>
      <c r="AE66" t="s">
        <v>42</v>
      </c>
      <c r="AG66" t="s">
        <v>43</v>
      </c>
      <c r="AH66">
        <v>59.9952363698971</v>
      </c>
      <c r="AI66" t="s">
        <v>44</v>
      </c>
    </row>
    <row r="67" spans="1:35">
      <c r="A67" t="s">
        <v>45</v>
      </c>
      <c r="B67" t="s">
        <v>46</v>
      </c>
      <c r="C67" t="s">
        <v>39</v>
      </c>
      <c r="D67" t="s">
        <v>38</v>
      </c>
      <c r="E67">
        <v>65</v>
      </c>
      <c r="F67">
        <f t="shared" ref="F67:F101" si="1">IF(OR(AND(A67="red", I67="z"), AND(A67="green", I67="m")), 1, 0)</f>
        <v>0</v>
      </c>
      <c r="G67">
        <v>5</v>
      </c>
      <c r="H67">
        <v>6</v>
      </c>
      <c r="I67" t="s">
        <v>37</v>
      </c>
      <c r="J67">
        <v>0.95721139997476701</v>
      </c>
      <c r="K67" t="s">
        <v>40</v>
      </c>
      <c r="L67">
        <v>6</v>
      </c>
      <c r="M67">
        <v>5</v>
      </c>
      <c r="N67">
        <v>65</v>
      </c>
      <c r="O67">
        <v>6</v>
      </c>
      <c r="P67">
        <v>98.897520600003105</v>
      </c>
      <c r="R67">
        <v>98.882862899976303</v>
      </c>
      <c r="S67">
        <v>98.897520600003105</v>
      </c>
      <c r="T67">
        <v>98.897520600003105</v>
      </c>
      <c r="U67">
        <v>98.897520600003105</v>
      </c>
      <c r="V67">
        <v>99.397509299975297</v>
      </c>
      <c r="X67">
        <v>99.8646290000178</v>
      </c>
      <c r="Y67" t="s">
        <v>37</v>
      </c>
      <c r="Z67">
        <v>0.95721139997476701</v>
      </c>
      <c r="AA67" t="s">
        <v>40</v>
      </c>
      <c r="AB67">
        <v>2</v>
      </c>
      <c r="AC67">
        <v>1</v>
      </c>
      <c r="AD67" t="s">
        <v>41</v>
      </c>
      <c r="AE67" t="s">
        <v>42</v>
      </c>
      <c r="AG67" t="s">
        <v>43</v>
      </c>
      <c r="AH67">
        <v>59.9952363698971</v>
      </c>
      <c r="AI67" t="s">
        <v>44</v>
      </c>
    </row>
    <row r="68" spans="1:35">
      <c r="A68" t="s">
        <v>35</v>
      </c>
      <c r="B68" t="s">
        <v>46</v>
      </c>
      <c r="C68" t="s">
        <v>37</v>
      </c>
      <c r="D68" t="s">
        <v>47</v>
      </c>
      <c r="E68">
        <v>66</v>
      </c>
      <c r="F68">
        <f t="shared" si="1"/>
        <v>1</v>
      </c>
      <c r="G68">
        <v>6</v>
      </c>
      <c r="H68">
        <v>6</v>
      </c>
      <c r="I68" t="s">
        <v>37</v>
      </c>
      <c r="J68">
        <v>8.0906753999879495</v>
      </c>
      <c r="K68" t="s">
        <v>40</v>
      </c>
      <c r="L68">
        <v>6</v>
      </c>
      <c r="M68">
        <v>6</v>
      </c>
      <c r="N68">
        <v>66</v>
      </c>
      <c r="O68">
        <v>8</v>
      </c>
      <c r="P68">
        <v>99.8805665000109</v>
      </c>
      <c r="R68">
        <v>99.865688599995295</v>
      </c>
      <c r="S68">
        <v>99.8805665000109</v>
      </c>
      <c r="T68">
        <v>99.8805665000109</v>
      </c>
      <c r="U68">
        <v>99.8805665000109</v>
      </c>
      <c r="V68">
        <v>100.380560300021</v>
      </c>
      <c r="W68">
        <v>100.880375900014</v>
      </c>
      <c r="X68">
        <v>107.97844249999601</v>
      </c>
      <c r="Y68" t="s">
        <v>37</v>
      </c>
      <c r="Z68">
        <v>8.0906753999879495</v>
      </c>
      <c r="AA68" t="s">
        <v>40</v>
      </c>
      <c r="AB68">
        <v>2</v>
      </c>
      <c r="AC68">
        <v>1</v>
      </c>
      <c r="AD68" t="s">
        <v>41</v>
      </c>
      <c r="AE68" t="s">
        <v>42</v>
      </c>
      <c r="AG68" t="s">
        <v>43</v>
      </c>
      <c r="AH68">
        <v>59.9952363698971</v>
      </c>
      <c r="AI68" t="s">
        <v>44</v>
      </c>
    </row>
    <row r="69" spans="1:35">
      <c r="A69" t="s">
        <v>35</v>
      </c>
      <c r="B69" t="s">
        <v>46</v>
      </c>
      <c r="C69" t="s">
        <v>37</v>
      </c>
      <c r="D69" t="s">
        <v>47</v>
      </c>
      <c r="E69">
        <v>67</v>
      </c>
      <c r="F69">
        <f t="shared" si="1"/>
        <v>0</v>
      </c>
      <c r="G69">
        <v>7</v>
      </c>
      <c r="H69">
        <v>6</v>
      </c>
      <c r="I69" t="s">
        <v>39</v>
      </c>
      <c r="J69">
        <v>8.2258919000159896</v>
      </c>
      <c r="K69" t="s">
        <v>40</v>
      </c>
      <c r="L69">
        <v>6</v>
      </c>
      <c r="M69">
        <v>7</v>
      </c>
      <c r="N69">
        <v>67</v>
      </c>
      <c r="O69">
        <v>0</v>
      </c>
      <c r="P69">
        <v>107.994301100028</v>
      </c>
      <c r="R69">
        <v>107.97963559999999</v>
      </c>
      <c r="S69">
        <v>107.994301100028</v>
      </c>
      <c r="T69">
        <v>107.994301100028</v>
      </c>
      <c r="U69">
        <v>107.994301100028</v>
      </c>
      <c r="V69">
        <v>108.49398660001999</v>
      </c>
      <c r="W69">
        <v>108.99451200000399</v>
      </c>
      <c r="X69">
        <v>116.22560960001999</v>
      </c>
      <c r="Y69" t="s">
        <v>39</v>
      </c>
      <c r="Z69">
        <v>8.2258919000159896</v>
      </c>
      <c r="AA69" t="s">
        <v>40</v>
      </c>
      <c r="AB69">
        <v>2</v>
      </c>
      <c r="AC69">
        <v>1</v>
      </c>
      <c r="AD69" t="s">
        <v>41</v>
      </c>
      <c r="AE69" t="s">
        <v>42</v>
      </c>
      <c r="AG69" t="s">
        <v>43</v>
      </c>
      <c r="AH69">
        <v>59.9952363698971</v>
      </c>
      <c r="AI69" t="s">
        <v>44</v>
      </c>
    </row>
    <row r="70" spans="1:35">
      <c r="A70" t="s">
        <v>35</v>
      </c>
      <c r="B70" t="s">
        <v>36</v>
      </c>
      <c r="C70" t="s">
        <v>37</v>
      </c>
      <c r="D70" t="s">
        <v>38</v>
      </c>
      <c r="E70">
        <v>68</v>
      </c>
      <c r="F70">
        <f t="shared" si="1"/>
        <v>1</v>
      </c>
      <c r="G70">
        <v>8</v>
      </c>
      <c r="H70">
        <v>6</v>
      </c>
      <c r="I70" t="s">
        <v>37</v>
      </c>
      <c r="J70">
        <v>1.58792910003103</v>
      </c>
      <c r="K70" t="s">
        <v>40</v>
      </c>
      <c r="L70">
        <v>6</v>
      </c>
      <c r="M70">
        <v>8</v>
      </c>
      <c r="N70">
        <v>68</v>
      </c>
      <c r="O70">
        <v>9</v>
      </c>
      <c r="P70">
        <v>116.241732200025</v>
      </c>
      <c r="R70">
        <v>116.226732500013</v>
      </c>
      <c r="S70">
        <v>116.241732200025</v>
      </c>
      <c r="T70">
        <v>116.241732200025</v>
      </c>
      <c r="U70">
        <v>116.241732200025</v>
      </c>
      <c r="V70">
        <v>116.74162689998001</v>
      </c>
      <c r="W70">
        <v>117.24143870000201</v>
      </c>
      <c r="X70">
        <v>117.841715799993</v>
      </c>
      <c r="Y70" t="s">
        <v>37</v>
      </c>
      <c r="Z70">
        <v>1.58792910003103</v>
      </c>
      <c r="AA70" t="s">
        <v>40</v>
      </c>
      <c r="AB70">
        <v>2</v>
      </c>
      <c r="AC70">
        <v>1</v>
      </c>
      <c r="AD70" t="s">
        <v>41</v>
      </c>
      <c r="AE70" t="s">
        <v>42</v>
      </c>
      <c r="AG70" t="s">
        <v>43</v>
      </c>
      <c r="AH70">
        <v>59.9952363698971</v>
      </c>
      <c r="AI70" t="s">
        <v>44</v>
      </c>
    </row>
    <row r="71" spans="1:35">
      <c r="A71" t="s">
        <v>35</v>
      </c>
      <c r="B71" t="s">
        <v>36</v>
      </c>
      <c r="C71" t="s">
        <v>37</v>
      </c>
      <c r="D71" t="s">
        <v>38</v>
      </c>
      <c r="E71">
        <v>69</v>
      </c>
      <c r="F71">
        <f t="shared" si="1"/>
        <v>1</v>
      </c>
      <c r="G71">
        <v>9</v>
      </c>
      <c r="H71">
        <v>6</v>
      </c>
      <c r="I71" t="s">
        <v>37</v>
      </c>
      <c r="J71">
        <v>1.29681799997342</v>
      </c>
      <c r="K71" t="s">
        <v>40</v>
      </c>
      <c r="L71">
        <v>6</v>
      </c>
      <c r="M71">
        <v>9</v>
      </c>
      <c r="N71">
        <v>69</v>
      </c>
      <c r="O71">
        <v>1</v>
      </c>
      <c r="P71">
        <v>117.857927999983</v>
      </c>
      <c r="R71">
        <v>117.84277749998699</v>
      </c>
      <c r="S71">
        <v>117.857927999983</v>
      </c>
      <c r="T71">
        <v>117.857927999983</v>
      </c>
      <c r="U71">
        <v>117.857927999983</v>
      </c>
      <c r="V71">
        <v>118.357775399985</v>
      </c>
      <c r="W71">
        <v>118.85756680002601</v>
      </c>
      <c r="X71">
        <v>119.158108400006</v>
      </c>
      <c r="Y71" t="s">
        <v>37</v>
      </c>
      <c r="Z71">
        <v>1.29681799997342</v>
      </c>
      <c r="AA71" t="s">
        <v>40</v>
      </c>
      <c r="AB71">
        <v>2</v>
      </c>
      <c r="AC71">
        <v>1</v>
      </c>
      <c r="AD71" t="s">
        <v>41</v>
      </c>
      <c r="AE71" t="s">
        <v>42</v>
      </c>
      <c r="AG71" t="s">
        <v>43</v>
      </c>
      <c r="AH71">
        <v>59.9952363698971</v>
      </c>
      <c r="AI71" t="s">
        <v>44</v>
      </c>
    </row>
    <row r="72" spans="1:35">
      <c r="A72" t="s">
        <v>45</v>
      </c>
      <c r="B72" t="s">
        <v>46</v>
      </c>
      <c r="C72" t="s">
        <v>39</v>
      </c>
      <c r="D72" t="s">
        <v>38</v>
      </c>
      <c r="E72">
        <v>70</v>
      </c>
      <c r="F72">
        <f t="shared" si="1"/>
        <v>1</v>
      </c>
      <c r="G72">
        <v>0</v>
      </c>
      <c r="H72">
        <v>7</v>
      </c>
      <c r="I72" t="s">
        <v>39</v>
      </c>
      <c r="J72">
        <v>1.2093874999554799</v>
      </c>
      <c r="K72" t="s">
        <v>40</v>
      </c>
      <c r="L72">
        <v>7</v>
      </c>
      <c r="M72">
        <v>0</v>
      </c>
      <c r="N72">
        <v>70</v>
      </c>
      <c r="O72">
        <v>2</v>
      </c>
      <c r="P72">
        <v>119.17413509998001</v>
      </c>
      <c r="R72">
        <v>119.15920689998801</v>
      </c>
      <c r="S72">
        <v>119.17413509998001</v>
      </c>
      <c r="T72">
        <v>119.17413509998001</v>
      </c>
      <c r="U72">
        <v>119.17413509998001</v>
      </c>
      <c r="V72">
        <v>119.674213699996</v>
      </c>
      <c r="W72">
        <v>120.17389089998299</v>
      </c>
      <c r="X72">
        <v>120.39095650002101</v>
      </c>
      <c r="Y72" t="s">
        <v>39</v>
      </c>
      <c r="Z72">
        <v>1.2093874999554799</v>
      </c>
      <c r="AA72" t="s">
        <v>40</v>
      </c>
      <c r="AB72">
        <v>2</v>
      </c>
      <c r="AC72">
        <v>1</v>
      </c>
      <c r="AD72" t="s">
        <v>41</v>
      </c>
      <c r="AE72" t="s">
        <v>42</v>
      </c>
      <c r="AG72" t="s">
        <v>43</v>
      </c>
      <c r="AH72">
        <v>59.9952363698971</v>
      </c>
      <c r="AI72" t="s">
        <v>44</v>
      </c>
    </row>
    <row r="73" spans="1:35">
      <c r="A73" t="s">
        <v>35</v>
      </c>
      <c r="B73" t="s">
        <v>46</v>
      </c>
      <c r="C73" t="s">
        <v>37</v>
      </c>
      <c r="D73" t="s">
        <v>47</v>
      </c>
      <c r="E73">
        <v>71</v>
      </c>
      <c r="F73">
        <f t="shared" si="1"/>
        <v>1</v>
      </c>
      <c r="G73">
        <v>1</v>
      </c>
      <c r="H73">
        <v>7</v>
      </c>
      <c r="I73" t="s">
        <v>37</v>
      </c>
      <c r="J73">
        <v>1.1488084999728001</v>
      </c>
      <c r="K73" t="s">
        <v>40</v>
      </c>
      <c r="L73">
        <v>7</v>
      </c>
      <c r="M73">
        <v>1</v>
      </c>
      <c r="N73">
        <v>71</v>
      </c>
      <c r="O73">
        <v>4</v>
      </c>
      <c r="P73">
        <v>120.407056500029</v>
      </c>
      <c r="R73">
        <v>120.392013099975</v>
      </c>
      <c r="S73">
        <v>120.407056500029</v>
      </c>
      <c r="T73">
        <v>120.407056500029</v>
      </c>
      <c r="U73">
        <v>120.407056500029</v>
      </c>
      <c r="V73">
        <v>120.906763900013</v>
      </c>
      <c r="W73">
        <v>121.40667450002999</v>
      </c>
      <c r="X73">
        <v>121.557398499979</v>
      </c>
      <c r="Y73" t="s">
        <v>37</v>
      </c>
      <c r="Z73">
        <v>1.1488084999728001</v>
      </c>
      <c r="AA73" t="s">
        <v>40</v>
      </c>
      <c r="AB73">
        <v>2</v>
      </c>
      <c r="AC73">
        <v>1</v>
      </c>
      <c r="AD73" t="s">
        <v>41</v>
      </c>
      <c r="AE73" t="s">
        <v>42</v>
      </c>
      <c r="AG73" t="s">
        <v>43</v>
      </c>
      <c r="AH73">
        <v>59.9952363698971</v>
      </c>
      <c r="AI73" t="s">
        <v>44</v>
      </c>
    </row>
    <row r="74" spans="1:35">
      <c r="A74" t="s">
        <v>35</v>
      </c>
      <c r="B74" t="s">
        <v>36</v>
      </c>
      <c r="C74" t="s">
        <v>37</v>
      </c>
      <c r="D74" t="s">
        <v>38</v>
      </c>
      <c r="E74">
        <v>72</v>
      </c>
      <c r="F74">
        <f t="shared" si="1"/>
        <v>1</v>
      </c>
      <c r="G74">
        <v>2</v>
      </c>
      <c r="H74">
        <v>7</v>
      </c>
      <c r="I74" t="s">
        <v>37</v>
      </c>
      <c r="J74">
        <v>1.3509034999878999</v>
      </c>
      <c r="K74" t="s">
        <v>40</v>
      </c>
      <c r="L74">
        <v>7</v>
      </c>
      <c r="M74">
        <v>2</v>
      </c>
      <c r="N74">
        <v>72</v>
      </c>
      <c r="O74">
        <v>9</v>
      </c>
      <c r="P74">
        <v>121.57324970001299</v>
      </c>
      <c r="R74">
        <v>121.55856590002</v>
      </c>
      <c r="S74">
        <v>121.57324970001299</v>
      </c>
      <c r="T74">
        <v>121.57324970001299</v>
      </c>
      <c r="U74">
        <v>121.57324970001299</v>
      </c>
      <c r="V74">
        <v>122.073015100031</v>
      </c>
      <c r="W74">
        <v>122.573006600025</v>
      </c>
      <c r="X74">
        <v>122.939711800019</v>
      </c>
      <c r="Y74" t="s">
        <v>37</v>
      </c>
      <c r="Z74">
        <v>1.3509034999878999</v>
      </c>
      <c r="AA74" t="s">
        <v>40</v>
      </c>
      <c r="AB74">
        <v>2</v>
      </c>
      <c r="AC74">
        <v>1</v>
      </c>
      <c r="AD74" t="s">
        <v>41</v>
      </c>
      <c r="AE74" t="s">
        <v>42</v>
      </c>
      <c r="AG74" t="s">
        <v>43</v>
      </c>
      <c r="AH74">
        <v>59.9952363698971</v>
      </c>
      <c r="AI74" t="s">
        <v>44</v>
      </c>
    </row>
    <row r="75" spans="1:35">
      <c r="A75" t="s">
        <v>35</v>
      </c>
      <c r="B75" t="s">
        <v>36</v>
      </c>
      <c r="C75" t="s">
        <v>37</v>
      </c>
      <c r="D75" t="s">
        <v>38</v>
      </c>
      <c r="E75">
        <v>73</v>
      </c>
      <c r="F75">
        <f t="shared" si="1"/>
        <v>1</v>
      </c>
      <c r="G75">
        <v>3</v>
      </c>
      <c r="H75">
        <v>7</v>
      </c>
      <c r="I75" t="s">
        <v>37</v>
      </c>
      <c r="J75">
        <v>1.4035152000142199</v>
      </c>
      <c r="K75" t="s">
        <v>40</v>
      </c>
      <c r="L75">
        <v>7</v>
      </c>
      <c r="M75">
        <v>3</v>
      </c>
      <c r="N75">
        <v>73</v>
      </c>
      <c r="O75">
        <v>1</v>
      </c>
      <c r="P75">
        <v>122.955993400013</v>
      </c>
      <c r="R75">
        <v>122.940711000002</v>
      </c>
      <c r="S75">
        <v>122.955993400013</v>
      </c>
      <c r="T75">
        <v>122.955993400013</v>
      </c>
      <c r="U75">
        <v>122.955993400013</v>
      </c>
      <c r="V75">
        <v>123.456057399977</v>
      </c>
      <c r="W75">
        <v>123.95585830003201</v>
      </c>
      <c r="X75">
        <v>124.372804399987</v>
      </c>
      <c r="Y75" t="s">
        <v>37</v>
      </c>
      <c r="Z75">
        <v>1.4035152000142199</v>
      </c>
      <c r="AA75" t="s">
        <v>40</v>
      </c>
      <c r="AB75">
        <v>2</v>
      </c>
      <c r="AC75">
        <v>1</v>
      </c>
      <c r="AD75" t="s">
        <v>41</v>
      </c>
      <c r="AE75" t="s">
        <v>42</v>
      </c>
      <c r="AG75" t="s">
        <v>43</v>
      </c>
      <c r="AH75">
        <v>59.9952363698971</v>
      </c>
      <c r="AI75" t="s">
        <v>44</v>
      </c>
    </row>
    <row r="76" spans="1:35">
      <c r="A76" t="s">
        <v>35</v>
      </c>
      <c r="B76" t="s">
        <v>46</v>
      </c>
      <c r="C76" t="s">
        <v>37</v>
      </c>
      <c r="D76" t="s">
        <v>47</v>
      </c>
      <c r="E76">
        <v>74</v>
      </c>
      <c r="F76">
        <f t="shared" si="1"/>
        <v>1</v>
      </c>
      <c r="G76">
        <v>4</v>
      </c>
      <c r="H76">
        <v>7</v>
      </c>
      <c r="I76" t="s">
        <v>37</v>
      </c>
      <c r="J76">
        <v>1.2977205000352099</v>
      </c>
      <c r="K76" t="s">
        <v>40</v>
      </c>
      <c r="L76">
        <v>7</v>
      </c>
      <c r="M76">
        <v>4</v>
      </c>
      <c r="N76">
        <v>74</v>
      </c>
      <c r="O76">
        <v>0</v>
      </c>
      <c r="P76">
        <v>124.38872729998501</v>
      </c>
      <c r="R76">
        <v>124.373497200023</v>
      </c>
      <c r="S76">
        <v>124.38872729998501</v>
      </c>
      <c r="T76">
        <v>124.38872729998501</v>
      </c>
      <c r="U76">
        <v>124.38872729998501</v>
      </c>
      <c r="V76">
        <v>124.888668600004</v>
      </c>
      <c r="W76">
        <v>125.388517200015</v>
      </c>
      <c r="X76">
        <v>125.688445099978</v>
      </c>
      <c r="Y76" t="s">
        <v>37</v>
      </c>
      <c r="Z76">
        <v>1.2977205000352099</v>
      </c>
      <c r="AA76" t="s">
        <v>40</v>
      </c>
      <c r="AB76">
        <v>2</v>
      </c>
      <c r="AC76">
        <v>1</v>
      </c>
      <c r="AD76" t="s">
        <v>41</v>
      </c>
      <c r="AE76" t="s">
        <v>42</v>
      </c>
      <c r="AG76" t="s">
        <v>43</v>
      </c>
      <c r="AH76">
        <v>59.9952363698971</v>
      </c>
      <c r="AI76" t="s">
        <v>44</v>
      </c>
    </row>
    <row r="77" spans="1:35">
      <c r="A77" t="s">
        <v>45</v>
      </c>
      <c r="B77" t="s">
        <v>36</v>
      </c>
      <c r="C77" t="s">
        <v>39</v>
      </c>
      <c r="D77" t="s">
        <v>47</v>
      </c>
      <c r="E77">
        <v>75</v>
      </c>
      <c r="F77">
        <f t="shared" si="1"/>
        <v>1</v>
      </c>
      <c r="G77">
        <v>5</v>
      </c>
      <c r="H77">
        <v>7</v>
      </c>
      <c r="I77" t="s">
        <v>39</v>
      </c>
      <c r="J77">
        <v>1.1618697000085301</v>
      </c>
      <c r="K77" t="s">
        <v>40</v>
      </c>
      <c r="L77">
        <v>7</v>
      </c>
      <c r="M77">
        <v>5</v>
      </c>
      <c r="N77">
        <v>75</v>
      </c>
      <c r="O77">
        <v>3</v>
      </c>
      <c r="P77">
        <v>125.70508240000299</v>
      </c>
      <c r="R77">
        <v>125.68885829998101</v>
      </c>
      <c r="S77">
        <v>125.70508240000299</v>
      </c>
      <c r="T77">
        <v>125.70508240000299</v>
      </c>
      <c r="U77">
        <v>125.70508240000299</v>
      </c>
      <c r="V77">
        <v>126.204901700024</v>
      </c>
      <c r="W77">
        <v>126.70458170003199</v>
      </c>
      <c r="X77">
        <v>126.87166250002301</v>
      </c>
      <c r="Y77" t="s">
        <v>39</v>
      </c>
      <c r="Z77">
        <v>1.1618697000085301</v>
      </c>
      <c r="AA77" t="s">
        <v>40</v>
      </c>
      <c r="AB77">
        <v>2</v>
      </c>
      <c r="AC77">
        <v>1</v>
      </c>
      <c r="AD77" t="s">
        <v>41</v>
      </c>
      <c r="AE77" t="s">
        <v>42</v>
      </c>
      <c r="AG77" t="s">
        <v>43</v>
      </c>
      <c r="AH77">
        <v>59.9952363698971</v>
      </c>
      <c r="AI77" t="s">
        <v>44</v>
      </c>
    </row>
    <row r="78" spans="1:35">
      <c r="A78" t="s">
        <v>45</v>
      </c>
      <c r="B78" t="s">
        <v>36</v>
      </c>
      <c r="C78" t="s">
        <v>39</v>
      </c>
      <c r="D78" t="s">
        <v>47</v>
      </c>
      <c r="E78">
        <v>76</v>
      </c>
      <c r="F78">
        <f t="shared" si="1"/>
        <v>1</v>
      </c>
      <c r="G78">
        <v>6</v>
      </c>
      <c r="H78">
        <v>7</v>
      </c>
      <c r="I78" t="s">
        <v>39</v>
      </c>
      <c r="J78">
        <v>1.16314469999633</v>
      </c>
      <c r="K78" t="s">
        <v>40</v>
      </c>
      <c r="L78">
        <v>7</v>
      </c>
      <c r="M78">
        <v>6</v>
      </c>
      <c r="N78">
        <v>76</v>
      </c>
      <c r="O78">
        <v>7</v>
      </c>
      <c r="P78">
        <v>126.887890100013</v>
      </c>
      <c r="R78">
        <v>126.872156900004</v>
      </c>
      <c r="S78">
        <v>126.887890100013</v>
      </c>
      <c r="T78">
        <v>126.887890100013</v>
      </c>
      <c r="U78">
        <v>126.887890100013</v>
      </c>
      <c r="V78">
        <v>127.38756360003001</v>
      </c>
      <c r="W78">
        <v>127.887822800024</v>
      </c>
      <c r="X78">
        <v>128.05447450000699</v>
      </c>
      <c r="Y78" t="s">
        <v>39</v>
      </c>
      <c r="Z78">
        <v>1.16314469999633</v>
      </c>
      <c r="AA78" t="s">
        <v>40</v>
      </c>
      <c r="AB78">
        <v>2</v>
      </c>
      <c r="AC78">
        <v>1</v>
      </c>
      <c r="AD78" t="s">
        <v>41</v>
      </c>
      <c r="AE78" t="s">
        <v>42</v>
      </c>
      <c r="AG78" t="s">
        <v>43</v>
      </c>
      <c r="AH78">
        <v>59.9952363698971</v>
      </c>
      <c r="AI78" t="s">
        <v>44</v>
      </c>
    </row>
    <row r="79" spans="1:35">
      <c r="A79" t="s">
        <v>45</v>
      </c>
      <c r="B79" t="s">
        <v>46</v>
      </c>
      <c r="C79" t="s">
        <v>39</v>
      </c>
      <c r="D79" t="s">
        <v>38</v>
      </c>
      <c r="E79">
        <v>77</v>
      </c>
      <c r="F79">
        <f t="shared" si="1"/>
        <v>1</v>
      </c>
      <c r="G79">
        <v>7</v>
      </c>
      <c r="H79">
        <v>7</v>
      </c>
      <c r="I79" t="s">
        <v>39</v>
      </c>
      <c r="J79">
        <v>1.20177859999239</v>
      </c>
      <c r="K79" t="s">
        <v>40</v>
      </c>
      <c r="L79">
        <v>7</v>
      </c>
      <c r="M79">
        <v>7</v>
      </c>
      <c r="N79">
        <v>77</v>
      </c>
      <c r="O79">
        <v>6</v>
      </c>
      <c r="P79">
        <v>128.070930999994</v>
      </c>
      <c r="R79">
        <v>128.055099899997</v>
      </c>
      <c r="S79">
        <v>128.070930999994</v>
      </c>
      <c r="T79">
        <v>128.070930999994</v>
      </c>
      <c r="U79">
        <v>128.070930999994</v>
      </c>
      <c r="V79">
        <v>128.570781100017</v>
      </c>
      <c r="W79">
        <v>129.07068350003101</v>
      </c>
      <c r="X79">
        <v>129.28795680002</v>
      </c>
      <c r="Y79" t="s">
        <v>39</v>
      </c>
      <c r="Z79">
        <v>1.20177859999239</v>
      </c>
      <c r="AA79" t="s">
        <v>40</v>
      </c>
      <c r="AB79">
        <v>2</v>
      </c>
      <c r="AC79">
        <v>1</v>
      </c>
      <c r="AD79" t="s">
        <v>41</v>
      </c>
      <c r="AE79" t="s">
        <v>42</v>
      </c>
      <c r="AG79" t="s">
        <v>43</v>
      </c>
      <c r="AH79">
        <v>59.9952363698971</v>
      </c>
      <c r="AI79" t="s">
        <v>44</v>
      </c>
    </row>
    <row r="80" spans="1:35">
      <c r="A80" t="s">
        <v>35</v>
      </c>
      <c r="B80" t="s">
        <v>46</v>
      </c>
      <c r="C80" t="s">
        <v>37</v>
      </c>
      <c r="D80" t="s">
        <v>47</v>
      </c>
      <c r="E80">
        <v>78</v>
      </c>
      <c r="F80">
        <f t="shared" si="1"/>
        <v>1</v>
      </c>
      <c r="G80">
        <v>8</v>
      </c>
      <c r="H80">
        <v>7</v>
      </c>
      <c r="I80" t="s">
        <v>37</v>
      </c>
      <c r="J80">
        <v>1.1818449000129401</v>
      </c>
      <c r="K80" t="s">
        <v>40</v>
      </c>
      <c r="L80">
        <v>7</v>
      </c>
      <c r="M80">
        <v>8</v>
      </c>
      <c r="N80">
        <v>78</v>
      </c>
      <c r="O80">
        <v>8</v>
      </c>
      <c r="P80">
        <v>129.304014599998</v>
      </c>
      <c r="R80">
        <v>129.28909859998299</v>
      </c>
      <c r="S80">
        <v>129.304014599998</v>
      </c>
      <c r="T80">
        <v>129.304014599998</v>
      </c>
      <c r="U80">
        <v>129.304014599998</v>
      </c>
      <c r="V80">
        <v>129.80357910000001</v>
      </c>
      <c r="W80">
        <v>130.303460500028</v>
      </c>
      <c r="X80">
        <v>130.487375800032</v>
      </c>
      <c r="Y80" t="s">
        <v>37</v>
      </c>
      <c r="Z80">
        <v>1.1818449000129401</v>
      </c>
      <c r="AA80" t="s">
        <v>40</v>
      </c>
      <c r="AB80">
        <v>2</v>
      </c>
      <c r="AC80">
        <v>1</v>
      </c>
      <c r="AD80" t="s">
        <v>41</v>
      </c>
      <c r="AE80" t="s">
        <v>42</v>
      </c>
      <c r="AG80" t="s">
        <v>43</v>
      </c>
      <c r="AH80">
        <v>59.9952363698971</v>
      </c>
      <c r="AI80" t="s">
        <v>44</v>
      </c>
    </row>
    <row r="81" spans="1:35">
      <c r="A81" t="s">
        <v>35</v>
      </c>
      <c r="B81" t="s">
        <v>36</v>
      </c>
      <c r="C81" t="s">
        <v>37</v>
      </c>
      <c r="D81" t="s">
        <v>38</v>
      </c>
      <c r="E81">
        <v>79</v>
      </c>
      <c r="F81">
        <f t="shared" si="1"/>
        <v>1</v>
      </c>
      <c r="G81">
        <v>9</v>
      </c>
      <c r="H81">
        <v>7</v>
      </c>
      <c r="I81" t="s">
        <v>37</v>
      </c>
      <c r="J81">
        <v>1.28505119995679</v>
      </c>
      <c r="K81" t="s">
        <v>40</v>
      </c>
      <c r="L81">
        <v>7</v>
      </c>
      <c r="M81">
        <v>9</v>
      </c>
      <c r="N81">
        <v>79</v>
      </c>
      <c r="O81">
        <v>5</v>
      </c>
      <c r="P81">
        <v>130.50364120001899</v>
      </c>
      <c r="R81">
        <v>130.48853129998301</v>
      </c>
      <c r="S81">
        <v>130.50364120001899</v>
      </c>
      <c r="T81">
        <v>130.50364120001899</v>
      </c>
      <c r="U81">
        <v>130.50364120001899</v>
      </c>
      <c r="V81">
        <v>131.00347589998199</v>
      </c>
      <c r="W81">
        <v>131.50326149998</v>
      </c>
      <c r="X81">
        <v>131.80374950001701</v>
      </c>
      <c r="Y81" t="s">
        <v>37</v>
      </c>
      <c r="Z81">
        <v>1.28505119995679</v>
      </c>
      <c r="AA81" t="s">
        <v>40</v>
      </c>
      <c r="AB81">
        <v>2</v>
      </c>
      <c r="AC81">
        <v>1</v>
      </c>
      <c r="AD81" t="s">
        <v>41</v>
      </c>
      <c r="AE81" t="s">
        <v>42</v>
      </c>
      <c r="AG81" t="s">
        <v>43</v>
      </c>
      <c r="AH81">
        <v>59.9952363698971</v>
      </c>
      <c r="AI81" t="s">
        <v>44</v>
      </c>
    </row>
    <row r="82" spans="1:35">
      <c r="A82" t="s">
        <v>35</v>
      </c>
      <c r="B82" t="s">
        <v>46</v>
      </c>
      <c r="C82" t="s">
        <v>37</v>
      </c>
      <c r="D82" t="s">
        <v>47</v>
      </c>
      <c r="E82">
        <v>80</v>
      </c>
      <c r="F82">
        <f t="shared" si="1"/>
        <v>1</v>
      </c>
      <c r="G82">
        <v>0</v>
      </c>
      <c r="H82">
        <v>8</v>
      </c>
      <c r="I82" t="s">
        <v>37</v>
      </c>
      <c r="J82">
        <v>1.20806809997884</v>
      </c>
      <c r="K82" t="s">
        <v>40</v>
      </c>
      <c r="L82">
        <v>8</v>
      </c>
      <c r="M82">
        <v>0</v>
      </c>
      <c r="N82">
        <v>80</v>
      </c>
      <c r="O82">
        <v>0</v>
      </c>
      <c r="P82">
        <v>131.819763700012</v>
      </c>
      <c r="R82">
        <v>131.80485120002399</v>
      </c>
      <c r="S82">
        <v>131.819763700012</v>
      </c>
      <c r="T82">
        <v>131.819763700012</v>
      </c>
      <c r="U82">
        <v>131.819763700012</v>
      </c>
      <c r="V82">
        <v>132.31945090001599</v>
      </c>
      <c r="W82">
        <v>132.819406900031</v>
      </c>
      <c r="X82">
        <v>133.03690349997399</v>
      </c>
      <c r="Y82" t="s">
        <v>37</v>
      </c>
      <c r="Z82">
        <v>1.20806809997884</v>
      </c>
      <c r="AA82" t="s">
        <v>40</v>
      </c>
      <c r="AB82">
        <v>2</v>
      </c>
      <c r="AC82">
        <v>1</v>
      </c>
      <c r="AD82" t="s">
        <v>41</v>
      </c>
      <c r="AE82" t="s">
        <v>42</v>
      </c>
      <c r="AG82" t="s">
        <v>43</v>
      </c>
      <c r="AH82">
        <v>59.9952363698971</v>
      </c>
      <c r="AI82" t="s">
        <v>44</v>
      </c>
    </row>
    <row r="83" spans="1:35">
      <c r="A83" t="s">
        <v>35</v>
      </c>
      <c r="B83" t="s">
        <v>36</v>
      </c>
      <c r="C83" t="s">
        <v>37</v>
      </c>
      <c r="D83" t="s">
        <v>38</v>
      </c>
      <c r="E83">
        <v>81</v>
      </c>
      <c r="F83">
        <f t="shared" si="1"/>
        <v>1</v>
      </c>
      <c r="G83">
        <v>1</v>
      </c>
      <c r="H83">
        <v>8</v>
      </c>
      <c r="I83" t="s">
        <v>37</v>
      </c>
      <c r="J83">
        <v>1.3135704000014801</v>
      </c>
      <c r="K83" t="s">
        <v>40</v>
      </c>
      <c r="L83">
        <v>8</v>
      </c>
      <c r="M83">
        <v>1</v>
      </c>
      <c r="N83">
        <v>81</v>
      </c>
      <c r="O83">
        <v>5</v>
      </c>
      <c r="P83">
        <v>133.05275540001401</v>
      </c>
      <c r="R83">
        <v>133.037940900016</v>
      </c>
      <c r="S83">
        <v>133.05275540001401</v>
      </c>
      <c r="T83">
        <v>133.05275540001401</v>
      </c>
      <c r="U83">
        <v>133.05275540001401</v>
      </c>
      <c r="V83">
        <v>133.55279919999799</v>
      </c>
      <c r="W83">
        <v>134.05243270000199</v>
      </c>
      <c r="X83">
        <v>134.36957769998099</v>
      </c>
      <c r="Y83" t="s">
        <v>37</v>
      </c>
      <c r="Z83">
        <v>1.3135704000014801</v>
      </c>
      <c r="AA83" t="s">
        <v>40</v>
      </c>
      <c r="AB83">
        <v>2</v>
      </c>
      <c r="AC83">
        <v>1</v>
      </c>
      <c r="AD83" t="s">
        <v>41</v>
      </c>
      <c r="AE83" t="s">
        <v>42</v>
      </c>
      <c r="AG83" t="s">
        <v>43</v>
      </c>
      <c r="AH83">
        <v>59.9952363698971</v>
      </c>
      <c r="AI83" t="s">
        <v>44</v>
      </c>
    </row>
    <row r="84" spans="1:35">
      <c r="A84" t="s">
        <v>45</v>
      </c>
      <c r="B84" t="s">
        <v>46</v>
      </c>
      <c r="C84" t="s">
        <v>39</v>
      </c>
      <c r="D84" t="s">
        <v>38</v>
      </c>
      <c r="E84">
        <v>82</v>
      </c>
      <c r="F84">
        <f t="shared" si="1"/>
        <v>1</v>
      </c>
      <c r="G84">
        <v>2</v>
      </c>
      <c r="H84">
        <v>8</v>
      </c>
      <c r="I84" t="s">
        <v>39</v>
      </c>
      <c r="J84">
        <v>1.42551520001143</v>
      </c>
      <c r="K84" t="s">
        <v>40</v>
      </c>
      <c r="L84">
        <v>8</v>
      </c>
      <c r="M84">
        <v>2</v>
      </c>
      <c r="N84">
        <v>82</v>
      </c>
      <c r="O84">
        <v>2</v>
      </c>
      <c r="P84">
        <v>134.38516970001999</v>
      </c>
      <c r="R84">
        <v>134.37065280001801</v>
      </c>
      <c r="S84">
        <v>134.38516970001999</v>
      </c>
      <c r="T84">
        <v>134.38516970001999</v>
      </c>
      <c r="U84">
        <v>134.38516970001999</v>
      </c>
      <c r="V84">
        <v>134.88527369999699</v>
      </c>
      <c r="W84">
        <v>135.385022100002</v>
      </c>
      <c r="X84">
        <v>135.8189825</v>
      </c>
      <c r="Y84" t="s">
        <v>39</v>
      </c>
      <c r="Z84">
        <v>1.42551520001143</v>
      </c>
      <c r="AA84" t="s">
        <v>40</v>
      </c>
      <c r="AB84">
        <v>2</v>
      </c>
      <c r="AC84">
        <v>1</v>
      </c>
      <c r="AD84" t="s">
        <v>41</v>
      </c>
      <c r="AE84" t="s">
        <v>42</v>
      </c>
      <c r="AG84" t="s">
        <v>43</v>
      </c>
      <c r="AH84">
        <v>59.9952363698971</v>
      </c>
      <c r="AI84" t="s">
        <v>44</v>
      </c>
    </row>
    <row r="85" spans="1:35">
      <c r="A85" t="s">
        <v>45</v>
      </c>
      <c r="B85" t="s">
        <v>36</v>
      </c>
      <c r="C85" t="s">
        <v>39</v>
      </c>
      <c r="D85" t="s">
        <v>47</v>
      </c>
      <c r="E85">
        <v>83</v>
      </c>
      <c r="F85">
        <f t="shared" si="1"/>
        <v>1</v>
      </c>
      <c r="G85">
        <v>3</v>
      </c>
      <c r="H85">
        <v>8</v>
      </c>
      <c r="I85" t="s">
        <v>39</v>
      </c>
      <c r="J85">
        <v>1.34875330002978</v>
      </c>
      <c r="K85" t="s">
        <v>40</v>
      </c>
      <c r="L85">
        <v>8</v>
      </c>
      <c r="M85">
        <v>3</v>
      </c>
      <c r="N85">
        <v>83</v>
      </c>
      <c r="O85">
        <v>7</v>
      </c>
      <c r="P85">
        <v>135.83502509997899</v>
      </c>
      <c r="R85">
        <v>135.82004199997701</v>
      </c>
      <c r="S85">
        <v>135.83502509997899</v>
      </c>
      <c r="T85">
        <v>135.83502509997899</v>
      </c>
      <c r="U85">
        <v>135.83502509997899</v>
      </c>
      <c r="V85">
        <v>136.334802000026</v>
      </c>
      <c r="W85">
        <v>136.834284899989</v>
      </c>
      <c r="X85">
        <v>137.18508620001299</v>
      </c>
      <c r="Y85" t="s">
        <v>39</v>
      </c>
      <c r="Z85">
        <v>1.34875330002978</v>
      </c>
      <c r="AA85" t="s">
        <v>40</v>
      </c>
      <c r="AB85">
        <v>2</v>
      </c>
      <c r="AC85">
        <v>1</v>
      </c>
      <c r="AD85" t="s">
        <v>41</v>
      </c>
      <c r="AE85" t="s">
        <v>42</v>
      </c>
      <c r="AG85" t="s">
        <v>43</v>
      </c>
      <c r="AH85">
        <v>59.9952363698971</v>
      </c>
      <c r="AI85" t="s">
        <v>44</v>
      </c>
    </row>
    <row r="86" spans="1:35">
      <c r="A86" t="s">
        <v>45</v>
      </c>
      <c r="B86" t="s">
        <v>36</v>
      </c>
      <c r="C86" t="s">
        <v>39</v>
      </c>
      <c r="D86" t="s">
        <v>47</v>
      </c>
      <c r="E86">
        <v>84</v>
      </c>
      <c r="F86">
        <f t="shared" si="1"/>
        <v>1</v>
      </c>
      <c r="G86">
        <v>4</v>
      </c>
      <c r="H86">
        <v>8</v>
      </c>
      <c r="I86" t="s">
        <v>39</v>
      </c>
      <c r="J86">
        <v>1.0995690000127001</v>
      </c>
      <c r="K86" t="s">
        <v>40</v>
      </c>
      <c r="L86">
        <v>8</v>
      </c>
      <c r="M86">
        <v>4</v>
      </c>
      <c r="N86">
        <v>84</v>
      </c>
      <c r="O86">
        <v>3</v>
      </c>
      <c r="P86">
        <v>137.20136479998399</v>
      </c>
      <c r="R86">
        <v>137.18617519998199</v>
      </c>
      <c r="S86">
        <v>137.20136479998399</v>
      </c>
      <c r="T86">
        <v>137.20136479998399</v>
      </c>
      <c r="U86">
        <v>137.20136479998399</v>
      </c>
      <c r="V86">
        <v>137.701298400003</v>
      </c>
      <c r="W86">
        <v>138.20054849999701</v>
      </c>
      <c r="X86">
        <v>138.31749699998099</v>
      </c>
      <c r="Y86" t="s">
        <v>39</v>
      </c>
      <c r="Z86">
        <v>1.0995690000127001</v>
      </c>
      <c r="AA86" t="s">
        <v>40</v>
      </c>
      <c r="AB86">
        <v>2</v>
      </c>
      <c r="AC86">
        <v>1</v>
      </c>
      <c r="AD86" t="s">
        <v>41</v>
      </c>
      <c r="AE86" t="s">
        <v>42</v>
      </c>
      <c r="AG86" t="s">
        <v>43</v>
      </c>
      <c r="AH86">
        <v>59.9952363698971</v>
      </c>
      <c r="AI86" t="s">
        <v>44</v>
      </c>
    </row>
    <row r="87" spans="1:35">
      <c r="A87" t="s">
        <v>35</v>
      </c>
      <c r="B87" t="s">
        <v>36</v>
      </c>
      <c r="C87" t="s">
        <v>37</v>
      </c>
      <c r="D87" t="s">
        <v>38</v>
      </c>
      <c r="E87">
        <v>85</v>
      </c>
      <c r="F87">
        <f t="shared" si="1"/>
        <v>1</v>
      </c>
      <c r="G87">
        <v>5</v>
      </c>
      <c r="H87">
        <v>8</v>
      </c>
      <c r="I87" t="s">
        <v>37</v>
      </c>
      <c r="J87">
        <v>1.1780217000050399</v>
      </c>
      <c r="K87" t="s">
        <v>40</v>
      </c>
      <c r="L87">
        <v>8</v>
      </c>
      <c r="M87">
        <v>5</v>
      </c>
      <c r="N87">
        <v>85</v>
      </c>
      <c r="O87">
        <v>9</v>
      </c>
      <c r="P87">
        <v>138.333930100023</v>
      </c>
      <c r="R87">
        <v>138.31791510002199</v>
      </c>
      <c r="S87">
        <v>138.333930100023</v>
      </c>
      <c r="T87">
        <v>138.333930100023</v>
      </c>
      <c r="U87">
        <v>138.333930100023</v>
      </c>
      <c r="V87">
        <v>138.83394809998501</v>
      </c>
      <c r="W87">
        <v>139.33395240001801</v>
      </c>
      <c r="X87">
        <v>139.51775539998101</v>
      </c>
      <c r="Y87" t="s">
        <v>37</v>
      </c>
      <c r="Z87">
        <v>1.1780217000050399</v>
      </c>
      <c r="AA87" t="s">
        <v>40</v>
      </c>
      <c r="AB87">
        <v>2</v>
      </c>
      <c r="AC87">
        <v>1</v>
      </c>
      <c r="AD87" t="s">
        <v>41</v>
      </c>
      <c r="AE87" t="s">
        <v>42</v>
      </c>
      <c r="AG87" t="s">
        <v>43</v>
      </c>
      <c r="AH87">
        <v>59.9952363698971</v>
      </c>
      <c r="AI87" t="s">
        <v>44</v>
      </c>
    </row>
    <row r="88" spans="1:35">
      <c r="A88" t="s">
        <v>35</v>
      </c>
      <c r="B88" t="s">
        <v>46</v>
      </c>
      <c r="C88" t="s">
        <v>37</v>
      </c>
      <c r="D88" t="s">
        <v>47</v>
      </c>
      <c r="E88">
        <v>86</v>
      </c>
      <c r="F88">
        <f t="shared" si="1"/>
        <v>1</v>
      </c>
      <c r="G88">
        <v>6</v>
      </c>
      <c r="H88">
        <v>8</v>
      </c>
      <c r="I88" t="s">
        <v>37</v>
      </c>
      <c r="J88">
        <v>1.21449619997292</v>
      </c>
      <c r="K88" t="s">
        <v>40</v>
      </c>
      <c r="L88">
        <v>8</v>
      </c>
      <c r="M88">
        <v>6</v>
      </c>
      <c r="N88">
        <v>86</v>
      </c>
      <c r="O88">
        <v>4</v>
      </c>
      <c r="P88">
        <v>139.53405529999799</v>
      </c>
      <c r="R88">
        <v>139.51874460000499</v>
      </c>
      <c r="S88">
        <v>139.53405529999799</v>
      </c>
      <c r="T88">
        <v>139.53405529999799</v>
      </c>
      <c r="U88">
        <v>139.53405529999799</v>
      </c>
      <c r="V88">
        <v>140.03379489999401</v>
      </c>
      <c r="W88">
        <v>140.533374299993</v>
      </c>
      <c r="X88">
        <v>140.75056070002</v>
      </c>
      <c r="Y88" t="s">
        <v>37</v>
      </c>
      <c r="Z88">
        <v>1.21449619997292</v>
      </c>
      <c r="AA88" t="s">
        <v>40</v>
      </c>
      <c r="AB88">
        <v>2</v>
      </c>
      <c r="AC88">
        <v>1</v>
      </c>
      <c r="AD88" t="s">
        <v>41</v>
      </c>
      <c r="AE88" t="s">
        <v>42</v>
      </c>
      <c r="AG88" t="s">
        <v>43</v>
      </c>
      <c r="AH88">
        <v>59.9952363698971</v>
      </c>
      <c r="AI88" t="s">
        <v>44</v>
      </c>
    </row>
    <row r="89" spans="1:35">
      <c r="A89" t="s">
        <v>45</v>
      </c>
      <c r="B89" t="s">
        <v>46</v>
      </c>
      <c r="C89" t="s">
        <v>39</v>
      </c>
      <c r="D89" t="s">
        <v>38</v>
      </c>
      <c r="E89">
        <v>87</v>
      </c>
      <c r="F89">
        <f t="shared" si="1"/>
        <v>1</v>
      </c>
      <c r="G89">
        <v>7</v>
      </c>
      <c r="H89">
        <v>8</v>
      </c>
      <c r="I89" t="s">
        <v>39</v>
      </c>
      <c r="J89">
        <v>1.2549260999658101</v>
      </c>
      <c r="K89" t="s">
        <v>40</v>
      </c>
      <c r="L89">
        <v>8</v>
      </c>
      <c r="M89">
        <v>7</v>
      </c>
      <c r="N89">
        <v>87</v>
      </c>
      <c r="O89">
        <v>6</v>
      </c>
      <c r="P89">
        <v>140.76675539999201</v>
      </c>
      <c r="R89">
        <v>140.75164219998899</v>
      </c>
      <c r="S89">
        <v>140.76675539999201</v>
      </c>
      <c r="T89">
        <v>140.76675539999201</v>
      </c>
      <c r="U89">
        <v>140.76675539999201</v>
      </c>
      <c r="V89">
        <v>141.26642340002499</v>
      </c>
      <c r="W89">
        <v>141.76622390002001</v>
      </c>
      <c r="X89">
        <v>142.03340170002701</v>
      </c>
      <c r="Y89" t="s">
        <v>39</v>
      </c>
      <c r="Z89">
        <v>1.2549260999658101</v>
      </c>
      <c r="AA89" t="s">
        <v>40</v>
      </c>
      <c r="AB89">
        <v>2</v>
      </c>
      <c r="AC89">
        <v>1</v>
      </c>
      <c r="AD89" t="s">
        <v>41</v>
      </c>
      <c r="AE89" t="s">
        <v>42</v>
      </c>
      <c r="AG89" t="s">
        <v>43</v>
      </c>
      <c r="AH89">
        <v>59.9952363698971</v>
      </c>
      <c r="AI89" t="s">
        <v>44</v>
      </c>
    </row>
    <row r="90" spans="1:35">
      <c r="A90" t="s">
        <v>35</v>
      </c>
      <c r="B90" t="s">
        <v>46</v>
      </c>
      <c r="C90" t="s">
        <v>37</v>
      </c>
      <c r="D90" t="s">
        <v>47</v>
      </c>
      <c r="E90">
        <v>88</v>
      </c>
      <c r="F90">
        <f t="shared" si="1"/>
        <v>1</v>
      </c>
      <c r="G90">
        <v>8</v>
      </c>
      <c r="H90">
        <v>8</v>
      </c>
      <c r="I90" t="s">
        <v>37</v>
      </c>
      <c r="J90">
        <v>1.34460889996262</v>
      </c>
      <c r="K90" t="s">
        <v>40</v>
      </c>
      <c r="L90">
        <v>8</v>
      </c>
      <c r="M90">
        <v>8</v>
      </c>
      <c r="N90">
        <v>88</v>
      </c>
      <c r="O90">
        <v>8</v>
      </c>
      <c r="P90">
        <v>142.04965290002201</v>
      </c>
      <c r="R90">
        <v>142.03462819999501</v>
      </c>
      <c r="S90">
        <v>142.04965290002201</v>
      </c>
      <c r="T90">
        <v>142.04965290002201</v>
      </c>
      <c r="U90">
        <v>142.04965290002201</v>
      </c>
      <c r="V90">
        <v>142.549412599997</v>
      </c>
      <c r="W90">
        <v>143.049417200032</v>
      </c>
      <c r="X90">
        <v>143.40002609998899</v>
      </c>
      <c r="Y90" t="s">
        <v>37</v>
      </c>
      <c r="Z90">
        <v>1.34460889996262</v>
      </c>
      <c r="AA90" t="s">
        <v>40</v>
      </c>
      <c r="AB90">
        <v>2</v>
      </c>
      <c r="AC90">
        <v>1</v>
      </c>
      <c r="AD90" t="s">
        <v>41</v>
      </c>
      <c r="AE90" t="s">
        <v>42</v>
      </c>
      <c r="AG90" t="s">
        <v>43</v>
      </c>
      <c r="AH90">
        <v>59.9952363698971</v>
      </c>
      <c r="AI90" t="s">
        <v>44</v>
      </c>
    </row>
    <row r="91" spans="1:35">
      <c r="A91" t="s">
        <v>35</v>
      </c>
      <c r="B91" t="s">
        <v>36</v>
      </c>
      <c r="C91" t="s">
        <v>37</v>
      </c>
      <c r="D91" t="s">
        <v>38</v>
      </c>
      <c r="E91">
        <v>89</v>
      </c>
      <c r="F91">
        <f t="shared" si="1"/>
        <v>1</v>
      </c>
      <c r="G91">
        <v>9</v>
      </c>
      <c r="H91">
        <v>8</v>
      </c>
      <c r="I91" t="s">
        <v>37</v>
      </c>
      <c r="J91">
        <v>1.2362525000353299</v>
      </c>
      <c r="K91" t="s">
        <v>40</v>
      </c>
      <c r="L91">
        <v>8</v>
      </c>
      <c r="M91">
        <v>9</v>
      </c>
      <c r="N91">
        <v>89</v>
      </c>
      <c r="O91">
        <v>1</v>
      </c>
      <c r="P91">
        <v>143.41600879997699</v>
      </c>
      <c r="R91">
        <v>143.40117369999601</v>
      </c>
      <c r="S91">
        <v>143.41600879997699</v>
      </c>
      <c r="T91">
        <v>143.41600879997699</v>
      </c>
      <c r="U91">
        <v>143.41600879997699</v>
      </c>
      <c r="V91">
        <v>143.91560429998199</v>
      </c>
      <c r="W91">
        <v>144.41552300000299</v>
      </c>
      <c r="X91">
        <v>144.665455800015</v>
      </c>
      <c r="Y91" t="s">
        <v>37</v>
      </c>
      <c r="Z91">
        <v>1.2362525000353299</v>
      </c>
      <c r="AA91" t="s">
        <v>40</v>
      </c>
      <c r="AB91">
        <v>2</v>
      </c>
      <c r="AC91">
        <v>1</v>
      </c>
      <c r="AD91" t="s">
        <v>41</v>
      </c>
      <c r="AE91" t="s">
        <v>42</v>
      </c>
      <c r="AG91" t="s">
        <v>43</v>
      </c>
      <c r="AH91">
        <v>59.9952363698971</v>
      </c>
      <c r="AI91" t="s">
        <v>44</v>
      </c>
    </row>
    <row r="92" spans="1:35">
      <c r="A92" t="s">
        <v>45</v>
      </c>
      <c r="B92" t="s">
        <v>36</v>
      </c>
      <c r="C92" t="s">
        <v>39</v>
      </c>
      <c r="D92" t="s">
        <v>47</v>
      </c>
      <c r="E92">
        <v>90</v>
      </c>
      <c r="F92">
        <f t="shared" si="1"/>
        <v>1</v>
      </c>
      <c r="G92">
        <v>0</v>
      </c>
      <c r="H92">
        <v>9</v>
      </c>
      <c r="I92" t="s">
        <v>39</v>
      </c>
      <c r="J92">
        <v>1.3099823000375099</v>
      </c>
      <c r="K92" t="s">
        <v>40</v>
      </c>
      <c r="L92">
        <v>9</v>
      </c>
      <c r="M92">
        <v>0</v>
      </c>
      <c r="N92">
        <v>90</v>
      </c>
      <c r="O92">
        <v>7</v>
      </c>
      <c r="P92">
        <v>144.68175689998299</v>
      </c>
      <c r="R92">
        <v>144.66586020000901</v>
      </c>
      <c r="S92">
        <v>144.68175689998299</v>
      </c>
      <c r="T92">
        <v>144.68175689998299</v>
      </c>
      <c r="U92">
        <v>144.68175689998299</v>
      </c>
      <c r="V92">
        <v>145.181829700013</v>
      </c>
      <c r="W92">
        <v>145.68186870001901</v>
      </c>
      <c r="X92">
        <v>145.998958299984</v>
      </c>
      <c r="Y92" t="s">
        <v>39</v>
      </c>
      <c r="Z92">
        <v>1.3099823000375099</v>
      </c>
      <c r="AA92" t="s">
        <v>40</v>
      </c>
      <c r="AB92">
        <v>2</v>
      </c>
      <c r="AC92">
        <v>1</v>
      </c>
      <c r="AD92" t="s">
        <v>41</v>
      </c>
      <c r="AE92" t="s">
        <v>42</v>
      </c>
      <c r="AG92" t="s">
        <v>43</v>
      </c>
      <c r="AH92">
        <v>59.9952363698971</v>
      </c>
      <c r="AI92" t="s">
        <v>44</v>
      </c>
    </row>
    <row r="93" spans="1:35">
      <c r="A93" t="s">
        <v>35</v>
      </c>
      <c r="B93" t="s">
        <v>46</v>
      </c>
      <c r="C93" t="s">
        <v>37</v>
      </c>
      <c r="D93" t="s">
        <v>47</v>
      </c>
      <c r="E93">
        <v>91</v>
      </c>
      <c r="F93">
        <f t="shared" si="1"/>
        <v>1</v>
      </c>
      <c r="G93">
        <v>1</v>
      </c>
      <c r="H93">
        <v>9</v>
      </c>
      <c r="I93" t="s">
        <v>37</v>
      </c>
      <c r="J93">
        <v>1.20072510000318</v>
      </c>
      <c r="K93" t="s">
        <v>40</v>
      </c>
      <c r="L93">
        <v>9</v>
      </c>
      <c r="M93">
        <v>1</v>
      </c>
      <c r="N93">
        <v>91</v>
      </c>
      <c r="O93">
        <v>4</v>
      </c>
      <c r="P93">
        <v>146.01496950001399</v>
      </c>
      <c r="R93">
        <v>145.99994649999999</v>
      </c>
      <c r="S93">
        <v>146.01496950001399</v>
      </c>
      <c r="T93">
        <v>146.01496950001399</v>
      </c>
      <c r="U93">
        <v>146.01496950001399</v>
      </c>
      <c r="V93">
        <v>146.51474449998901</v>
      </c>
      <c r="W93">
        <v>147.01446440001001</v>
      </c>
      <c r="X93">
        <v>147.23184979998001</v>
      </c>
      <c r="Y93" t="s">
        <v>37</v>
      </c>
      <c r="Z93">
        <v>1.20072510000318</v>
      </c>
      <c r="AA93" t="s">
        <v>40</v>
      </c>
      <c r="AB93">
        <v>2</v>
      </c>
      <c r="AC93">
        <v>1</v>
      </c>
      <c r="AD93" t="s">
        <v>41</v>
      </c>
      <c r="AE93" t="s">
        <v>42</v>
      </c>
      <c r="AG93" t="s">
        <v>43</v>
      </c>
      <c r="AH93">
        <v>59.9952363698971</v>
      </c>
      <c r="AI93" t="s">
        <v>44</v>
      </c>
    </row>
    <row r="94" spans="1:35">
      <c r="A94" t="s">
        <v>35</v>
      </c>
      <c r="B94" t="s">
        <v>36</v>
      </c>
      <c r="C94" t="s">
        <v>37</v>
      </c>
      <c r="D94" t="s">
        <v>38</v>
      </c>
      <c r="E94">
        <v>92</v>
      </c>
      <c r="F94">
        <f t="shared" si="1"/>
        <v>1</v>
      </c>
      <c r="G94">
        <v>2</v>
      </c>
      <c r="H94">
        <v>9</v>
      </c>
      <c r="I94" t="s">
        <v>37</v>
      </c>
      <c r="J94">
        <v>1.29355989996111</v>
      </c>
      <c r="K94" t="s">
        <v>40</v>
      </c>
      <c r="L94">
        <v>9</v>
      </c>
      <c r="M94">
        <v>2</v>
      </c>
      <c r="N94">
        <v>92</v>
      </c>
      <c r="O94">
        <v>1</v>
      </c>
      <c r="P94">
        <v>147.24784750002399</v>
      </c>
      <c r="R94">
        <v>147.232846600003</v>
      </c>
      <c r="S94">
        <v>147.24784750002399</v>
      </c>
      <c r="T94">
        <v>147.24784750002399</v>
      </c>
      <c r="U94">
        <v>147.24784750002399</v>
      </c>
      <c r="V94">
        <v>147.74787710001601</v>
      </c>
      <c r="W94">
        <v>148.24744910001701</v>
      </c>
      <c r="X94">
        <v>148.54810790001599</v>
      </c>
      <c r="Y94" t="s">
        <v>37</v>
      </c>
      <c r="Z94">
        <v>1.29355989996111</v>
      </c>
      <c r="AA94" t="s">
        <v>40</v>
      </c>
      <c r="AB94">
        <v>2</v>
      </c>
      <c r="AC94">
        <v>1</v>
      </c>
      <c r="AD94" t="s">
        <v>41</v>
      </c>
      <c r="AE94" t="s">
        <v>42</v>
      </c>
      <c r="AG94" t="s">
        <v>43</v>
      </c>
      <c r="AH94">
        <v>59.9952363698971</v>
      </c>
      <c r="AI94" t="s">
        <v>44</v>
      </c>
    </row>
    <row r="95" spans="1:35">
      <c r="A95" t="s">
        <v>35</v>
      </c>
      <c r="B95" t="s">
        <v>36</v>
      </c>
      <c r="C95" t="s">
        <v>37</v>
      </c>
      <c r="D95" t="s">
        <v>38</v>
      </c>
      <c r="E95">
        <v>93</v>
      </c>
      <c r="F95">
        <f t="shared" si="1"/>
        <v>1</v>
      </c>
      <c r="G95">
        <v>3</v>
      </c>
      <c r="H95">
        <v>9</v>
      </c>
      <c r="I95" t="s">
        <v>37</v>
      </c>
      <c r="J95">
        <v>1.2426953999674799</v>
      </c>
      <c r="K95" t="s">
        <v>40</v>
      </c>
      <c r="L95">
        <v>9</v>
      </c>
      <c r="M95">
        <v>3</v>
      </c>
      <c r="N95">
        <v>93</v>
      </c>
      <c r="O95">
        <v>9</v>
      </c>
      <c r="P95">
        <v>148.56406619999299</v>
      </c>
      <c r="R95">
        <v>148.549211799982</v>
      </c>
      <c r="S95">
        <v>148.56406619999299</v>
      </c>
      <c r="T95">
        <v>148.56406619999299</v>
      </c>
      <c r="U95">
        <v>148.56406619999299</v>
      </c>
      <c r="V95">
        <v>149.06423760001701</v>
      </c>
      <c r="W95">
        <v>149.564048599975</v>
      </c>
      <c r="X95">
        <v>149.81436299998299</v>
      </c>
      <c r="Y95" t="s">
        <v>37</v>
      </c>
      <c r="Z95">
        <v>1.2426953999674799</v>
      </c>
      <c r="AA95" t="s">
        <v>40</v>
      </c>
      <c r="AB95">
        <v>2</v>
      </c>
      <c r="AC95">
        <v>1</v>
      </c>
      <c r="AD95" t="s">
        <v>41</v>
      </c>
      <c r="AE95" t="s">
        <v>42</v>
      </c>
      <c r="AG95" t="s">
        <v>43</v>
      </c>
      <c r="AH95">
        <v>59.9952363698971</v>
      </c>
      <c r="AI95" t="s">
        <v>44</v>
      </c>
    </row>
    <row r="96" spans="1:35">
      <c r="A96" t="s">
        <v>35</v>
      </c>
      <c r="B96" t="s">
        <v>46</v>
      </c>
      <c r="C96" t="s">
        <v>37</v>
      </c>
      <c r="D96" t="s">
        <v>47</v>
      </c>
      <c r="E96">
        <v>94</v>
      </c>
      <c r="F96">
        <f t="shared" si="1"/>
        <v>1</v>
      </c>
      <c r="G96">
        <v>4</v>
      </c>
      <c r="H96">
        <v>9</v>
      </c>
      <c r="I96" t="s">
        <v>37</v>
      </c>
      <c r="J96">
        <v>1.0645107000018399</v>
      </c>
      <c r="K96" t="s">
        <v>40</v>
      </c>
      <c r="L96">
        <v>9</v>
      </c>
      <c r="M96">
        <v>4</v>
      </c>
      <c r="N96">
        <v>94</v>
      </c>
      <c r="O96">
        <v>0</v>
      </c>
      <c r="P96">
        <v>149.830252200015</v>
      </c>
      <c r="R96">
        <v>149.81536399998001</v>
      </c>
      <c r="S96">
        <v>149.830252200015</v>
      </c>
      <c r="T96">
        <v>149.830252200015</v>
      </c>
      <c r="U96">
        <v>149.830252200015</v>
      </c>
      <c r="V96">
        <v>150.329818899976</v>
      </c>
      <c r="W96">
        <v>150.82994239998499</v>
      </c>
      <c r="X96">
        <v>150.89701880002301</v>
      </c>
      <c r="Y96" t="s">
        <v>37</v>
      </c>
      <c r="Z96">
        <v>1.0645107000018399</v>
      </c>
      <c r="AA96" t="s">
        <v>40</v>
      </c>
      <c r="AB96">
        <v>2</v>
      </c>
      <c r="AC96">
        <v>1</v>
      </c>
      <c r="AD96" t="s">
        <v>41</v>
      </c>
      <c r="AE96" t="s">
        <v>42</v>
      </c>
      <c r="AG96" t="s">
        <v>43</v>
      </c>
      <c r="AH96">
        <v>59.9952363698971</v>
      </c>
      <c r="AI96" t="s">
        <v>44</v>
      </c>
    </row>
    <row r="97" spans="1:35">
      <c r="A97" t="s">
        <v>45</v>
      </c>
      <c r="B97" t="s">
        <v>36</v>
      </c>
      <c r="C97" t="s">
        <v>39</v>
      </c>
      <c r="D97" t="s">
        <v>47</v>
      </c>
      <c r="E97">
        <v>95</v>
      </c>
      <c r="F97">
        <f t="shared" si="1"/>
        <v>1</v>
      </c>
      <c r="G97">
        <v>5</v>
      </c>
      <c r="H97">
        <v>9</v>
      </c>
      <c r="I97" t="s">
        <v>39</v>
      </c>
      <c r="J97">
        <v>1.2607224000385</v>
      </c>
      <c r="K97" t="s">
        <v>40</v>
      </c>
      <c r="L97">
        <v>9</v>
      </c>
      <c r="M97">
        <v>5</v>
      </c>
      <c r="N97">
        <v>95</v>
      </c>
      <c r="O97">
        <v>3</v>
      </c>
      <c r="P97">
        <v>150.91336280002699</v>
      </c>
      <c r="R97">
        <v>150.89833779999699</v>
      </c>
      <c r="S97">
        <v>150.91336280002699</v>
      </c>
      <c r="T97">
        <v>150.91336280002699</v>
      </c>
      <c r="U97">
        <v>150.91336280002699</v>
      </c>
      <c r="V97">
        <v>151.41311459999901</v>
      </c>
      <c r="W97">
        <v>151.913171100022</v>
      </c>
      <c r="X97">
        <v>152.17973620002101</v>
      </c>
      <c r="Y97" t="s">
        <v>39</v>
      </c>
      <c r="Z97">
        <v>1.2607224000385</v>
      </c>
      <c r="AA97" t="s">
        <v>40</v>
      </c>
      <c r="AB97">
        <v>2</v>
      </c>
      <c r="AC97">
        <v>1</v>
      </c>
      <c r="AD97" t="s">
        <v>41</v>
      </c>
      <c r="AE97" t="s">
        <v>42</v>
      </c>
      <c r="AG97" t="s">
        <v>43</v>
      </c>
      <c r="AH97">
        <v>59.9952363698971</v>
      </c>
      <c r="AI97" t="s">
        <v>44</v>
      </c>
    </row>
    <row r="98" spans="1:35">
      <c r="A98" t="s">
        <v>35</v>
      </c>
      <c r="B98" t="s">
        <v>46</v>
      </c>
      <c r="C98" t="s">
        <v>37</v>
      </c>
      <c r="D98" t="s">
        <v>47</v>
      </c>
      <c r="E98">
        <v>96</v>
      </c>
      <c r="F98">
        <f t="shared" si="1"/>
        <v>1</v>
      </c>
      <c r="G98">
        <v>6</v>
      </c>
      <c r="H98">
        <v>9</v>
      </c>
      <c r="I98" t="s">
        <v>37</v>
      </c>
      <c r="J98">
        <v>1.21047120000002</v>
      </c>
      <c r="K98" t="s">
        <v>40</v>
      </c>
      <c r="L98">
        <v>9</v>
      </c>
      <c r="M98">
        <v>6</v>
      </c>
      <c r="N98">
        <v>96</v>
      </c>
      <c r="O98">
        <v>8</v>
      </c>
      <c r="P98">
        <v>152.19603390002101</v>
      </c>
      <c r="R98">
        <v>152.180383700004</v>
      </c>
      <c r="S98">
        <v>152.19603390002101</v>
      </c>
      <c r="T98">
        <v>152.19603390002101</v>
      </c>
      <c r="U98">
        <v>152.19603390002101</v>
      </c>
      <c r="V98">
        <v>152.69595110003101</v>
      </c>
      <c r="W98">
        <v>153.19598249997901</v>
      </c>
      <c r="X98">
        <v>153.41319079999801</v>
      </c>
      <c r="Y98" t="s">
        <v>37</v>
      </c>
      <c r="Z98">
        <v>1.21047120000002</v>
      </c>
      <c r="AA98" t="s">
        <v>40</v>
      </c>
      <c r="AB98">
        <v>2</v>
      </c>
      <c r="AC98">
        <v>1</v>
      </c>
      <c r="AD98" t="s">
        <v>41</v>
      </c>
      <c r="AE98" t="s">
        <v>42</v>
      </c>
      <c r="AG98" t="s">
        <v>43</v>
      </c>
      <c r="AH98">
        <v>59.9952363698971</v>
      </c>
      <c r="AI98" t="s">
        <v>44</v>
      </c>
    </row>
    <row r="99" spans="1:35">
      <c r="A99" t="s">
        <v>35</v>
      </c>
      <c r="B99" t="s">
        <v>36</v>
      </c>
      <c r="C99" t="s">
        <v>37</v>
      </c>
      <c r="D99" t="s">
        <v>38</v>
      </c>
      <c r="E99">
        <v>97</v>
      </c>
      <c r="F99">
        <f t="shared" si="1"/>
        <v>1</v>
      </c>
      <c r="G99">
        <v>7</v>
      </c>
      <c r="H99">
        <v>9</v>
      </c>
      <c r="I99" t="s">
        <v>37</v>
      </c>
      <c r="J99">
        <v>1.2825780999846701</v>
      </c>
      <c r="K99" t="s">
        <v>40</v>
      </c>
      <c r="L99">
        <v>9</v>
      </c>
      <c r="M99">
        <v>7</v>
      </c>
      <c r="N99">
        <v>97</v>
      </c>
      <c r="O99">
        <v>5</v>
      </c>
      <c r="P99">
        <v>153.429172999982</v>
      </c>
      <c r="R99">
        <v>153.414300100004</v>
      </c>
      <c r="S99">
        <v>153.429172999982</v>
      </c>
      <c r="T99">
        <v>153.429172999982</v>
      </c>
      <c r="U99">
        <v>153.429172999982</v>
      </c>
      <c r="V99">
        <v>153.929018900031</v>
      </c>
      <c r="W99">
        <v>154.428623899992</v>
      </c>
      <c r="X99">
        <v>154.729317500023</v>
      </c>
      <c r="Y99" t="s">
        <v>37</v>
      </c>
      <c r="Z99">
        <v>1.2825780999846701</v>
      </c>
      <c r="AA99" t="s">
        <v>40</v>
      </c>
      <c r="AB99">
        <v>2</v>
      </c>
      <c r="AC99">
        <v>1</v>
      </c>
      <c r="AD99" t="s">
        <v>41</v>
      </c>
      <c r="AE99" t="s">
        <v>42</v>
      </c>
      <c r="AG99" t="s">
        <v>43</v>
      </c>
      <c r="AH99">
        <v>59.9952363698971</v>
      </c>
      <c r="AI99" t="s">
        <v>44</v>
      </c>
    </row>
    <row r="100" spans="1:35">
      <c r="A100" t="s">
        <v>45</v>
      </c>
      <c r="B100" t="s">
        <v>46</v>
      </c>
      <c r="C100" t="s">
        <v>39</v>
      </c>
      <c r="D100" t="s">
        <v>38</v>
      </c>
      <c r="E100">
        <v>98</v>
      </c>
      <c r="F100">
        <f t="shared" si="1"/>
        <v>1</v>
      </c>
      <c r="G100">
        <v>8</v>
      </c>
      <c r="H100">
        <v>9</v>
      </c>
      <c r="I100" t="s">
        <v>39</v>
      </c>
      <c r="J100">
        <v>1.46688419999554</v>
      </c>
      <c r="K100" t="s">
        <v>40</v>
      </c>
      <c r="L100">
        <v>9</v>
      </c>
      <c r="M100">
        <v>8</v>
      </c>
      <c r="N100">
        <v>98</v>
      </c>
      <c r="O100">
        <v>2</v>
      </c>
      <c r="P100">
        <v>154.745227899984</v>
      </c>
      <c r="R100">
        <v>154.73038490000101</v>
      </c>
      <c r="S100">
        <v>154.745227899984</v>
      </c>
      <c r="T100">
        <v>154.745227899984</v>
      </c>
      <c r="U100">
        <v>154.745227899984</v>
      </c>
      <c r="V100">
        <v>155.24509400001199</v>
      </c>
      <c r="W100">
        <v>155.74492949998199</v>
      </c>
      <c r="X100">
        <v>156.22880149999401</v>
      </c>
      <c r="Y100" t="s">
        <v>39</v>
      </c>
      <c r="Z100">
        <v>1.46688419999554</v>
      </c>
      <c r="AA100" t="s">
        <v>40</v>
      </c>
      <c r="AB100">
        <v>2</v>
      </c>
      <c r="AC100">
        <v>1</v>
      </c>
      <c r="AD100" t="s">
        <v>41</v>
      </c>
      <c r="AE100" t="s">
        <v>42</v>
      </c>
      <c r="AG100" t="s">
        <v>43</v>
      </c>
      <c r="AH100">
        <v>59.9952363698971</v>
      </c>
      <c r="AI100" t="s">
        <v>44</v>
      </c>
    </row>
    <row r="101" spans="1:35">
      <c r="A101" t="s">
        <v>45</v>
      </c>
      <c r="B101" t="s">
        <v>46</v>
      </c>
      <c r="C101" t="s">
        <v>39</v>
      </c>
      <c r="D101" t="s">
        <v>38</v>
      </c>
      <c r="E101">
        <v>99</v>
      </c>
      <c r="F101">
        <f t="shared" si="1"/>
        <v>1</v>
      </c>
      <c r="G101">
        <v>9</v>
      </c>
      <c r="H101">
        <v>9</v>
      </c>
      <c r="I101" t="s">
        <v>39</v>
      </c>
      <c r="J101">
        <v>1.2857404000242201</v>
      </c>
      <c r="K101" t="s">
        <v>40</v>
      </c>
      <c r="L101">
        <v>9</v>
      </c>
      <c r="M101">
        <v>9</v>
      </c>
      <c r="N101">
        <v>99</v>
      </c>
      <c r="O101">
        <v>6</v>
      </c>
      <c r="P101">
        <v>156.24479530000801</v>
      </c>
      <c r="R101">
        <v>156.22993309999501</v>
      </c>
      <c r="S101">
        <v>156.24479530000801</v>
      </c>
      <c r="T101">
        <v>156.24479530000801</v>
      </c>
      <c r="U101">
        <v>156.24479530000801</v>
      </c>
      <c r="V101">
        <v>156.74460189998999</v>
      </c>
      <c r="W101">
        <v>157.244572900002</v>
      </c>
      <c r="X101">
        <v>157.545243899978</v>
      </c>
      <c r="Y101" t="s">
        <v>39</v>
      </c>
      <c r="Z101">
        <v>1.2857404000242201</v>
      </c>
      <c r="AA101" t="s">
        <v>40</v>
      </c>
      <c r="AB101">
        <v>2</v>
      </c>
      <c r="AC101">
        <v>1</v>
      </c>
      <c r="AD101" t="s">
        <v>41</v>
      </c>
      <c r="AE101" t="s">
        <v>42</v>
      </c>
      <c r="AG101" t="s">
        <v>43</v>
      </c>
      <c r="AH101">
        <v>59.9952363698971</v>
      </c>
      <c r="AI10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AF4B-7EE6-4192-9DCC-74791B0CDD59}">
  <dimension ref="A1:K107"/>
  <sheetViews>
    <sheetView tabSelected="1" topLeftCell="D84" workbookViewId="0">
      <selection activeCell="O108" sqref="O108"/>
    </sheetView>
  </sheetViews>
  <sheetFormatPr defaultRowHeight="15"/>
  <cols>
    <col min="6" max="6" width="14.28515625" customWidth="1"/>
    <col min="7" max="7" width="11.42578125" customWidth="1"/>
    <col min="8" max="8" width="14.140625" bestFit="1" customWidth="1"/>
    <col min="9" max="9" width="18.7109375" bestFit="1" customWidth="1"/>
    <col min="10" max="10" width="14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5</v>
      </c>
      <c r="G1" s="1" t="s">
        <v>9</v>
      </c>
    </row>
    <row r="2" spans="1:7">
      <c r="A2" t="s">
        <v>35</v>
      </c>
      <c r="B2" t="s">
        <v>36</v>
      </c>
      <c r="C2" t="s">
        <v>37</v>
      </c>
      <c r="D2" t="s">
        <v>38</v>
      </c>
      <c r="E2" t="s">
        <v>39</v>
      </c>
      <c r="F2">
        <f>IF(OR(AND(A2="red", I2="z"), AND(A2="green", I2="m")), 1, 0)</f>
        <v>0</v>
      </c>
      <c r="G2">
        <v>1.25707719998899</v>
      </c>
    </row>
    <row r="3" spans="1:7">
      <c r="A3" t="s">
        <v>35</v>
      </c>
      <c r="B3" t="s">
        <v>36</v>
      </c>
      <c r="C3" t="s">
        <v>37</v>
      </c>
      <c r="D3" t="s">
        <v>38</v>
      </c>
      <c r="E3" t="s">
        <v>39</v>
      </c>
      <c r="F3">
        <f t="shared" ref="F3:F66" si="0">IF(OR(AND(A3="red", I3="z"), AND(A3="green", I3="m")), 1, 0)</f>
        <v>0</v>
      </c>
      <c r="G3">
        <v>0.82162860000971705</v>
      </c>
    </row>
    <row r="4" spans="1:7">
      <c r="A4" t="s">
        <v>45</v>
      </c>
      <c r="B4" t="s">
        <v>46</v>
      </c>
      <c r="C4" t="s">
        <v>39</v>
      </c>
      <c r="D4" t="s">
        <v>38</v>
      </c>
      <c r="E4" t="s">
        <v>37</v>
      </c>
      <c r="F4">
        <f t="shared" si="0"/>
        <v>0</v>
      </c>
      <c r="G4">
        <v>0.80952379998052404</v>
      </c>
    </row>
    <row r="5" spans="1:7">
      <c r="A5" t="s">
        <v>45</v>
      </c>
      <c r="B5" t="s">
        <v>36</v>
      </c>
      <c r="C5" t="s">
        <v>39</v>
      </c>
      <c r="D5" t="s">
        <v>47</v>
      </c>
      <c r="E5" t="s">
        <v>39</v>
      </c>
      <c r="F5">
        <v>1</v>
      </c>
      <c r="G5">
        <v>3.2978861999581501</v>
      </c>
    </row>
    <row r="6" spans="1:7">
      <c r="A6" t="s">
        <v>45</v>
      </c>
      <c r="B6" t="s">
        <v>46</v>
      </c>
      <c r="C6" t="s">
        <v>39</v>
      </c>
      <c r="D6" t="s">
        <v>38</v>
      </c>
      <c r="E6" t="s">
        <v>37</v>
      </c>
      <c r="F6">
        <f t="shared" si="0"/>
        <v>0</v>
      </c>
      <c r="G6">
        <v>1.0246768999495499</v>
      </c>
    </row>
    <row r="7" spans="1:7">
      <c r="A7" t="s">
        <v>35</v>
      </c>
      <c r="B7" t="s">
        <v>46</v>
      </c>
      <c r="C7" t="s">
        <v>37</v>
      </c>
      <c r="D7" t="s">
        <v>47</v>
      </c>
      <c r="E7" t="s">
        <v>37</v>
      </c>
      <c r="F7">
        <v>1</v>
      </c>
      <c r="G7">
        <v>0.64040889998432204</v>
      </c>
    </row>
    <row r="8" spans="1:7">
      <c r="A8" t="s">
        <v>35</v>
      </c>
      <c r="B8" t="s">
        <v>46</v>
      </c>
      <c r="C8" t="s">
        <v>37</v>
      </c>
      <c r="D8" t="s">
        <v>47</v>
      </c>
      <c r="E8" t="s">
        <v>37</v>
      </c>
      <c r="F8">
        <v>1</v>
      </c>
      <c r="G8">
        <v>2.8386932000285001</v>
      </c>
    </row>
    <row r="9" spans="1:7">
      <c r="A9" t="s">
        <v>35</v>
      </c>
      <c r="B9" t="s">
        <v>36</v>
      </c>
      <c r="C9" t="s">
        <v>37</v>
      </c>
      <c r="D9" t="s">
        <v>38</v>
      </c>
      <c r="E9" t="s">
        <v>37</v>
      </c>
      <c r="F9">
        <v>1</v>
      </c>
      <c r="G9">
        <v>0.61173190001863897</v>
      </c>
    </row>
    <row r="10" spans="1:7">
      <c r="A10" t="s">
        <v>35</v>
      </c>
      <c r="B10" t="s">
        <v>46</v>
      </c>
      <c r="C10" t="s">
        <v>37</v>
      </c>
      <c r="D10" t="s">
        <v>47</v>
      </c>
      <c r="E10" t="s">
        <v>37</v>
      </c>
      <c r="F10">
        <v>1</v>
      </c>
      <c r="G10">
        <v>0.480817700037732</v>
      </c>
    </row>
    <row r="11" spans="1:7">
      <c r="A11" t="s">
        <v>45</v>
      </c>
      <c r="B11" t="s">
        <v>36</v>
      </c>
      <c r="C11" t="s">
        <v>39</v>
      </c>
      <c r="D11" t="s">
        <v>47</v>
      </c>
      <c r="E11" t="s">
        <v>39</v>
      </c>
      <c r="F11">
        <v>1</v>
      </c>
      <c r="G11">
        <v>0.54358900000806898</v>
      </c>
    </row>
    <row r="12" spans="1:7">
      <c r="A12" t="s">
        <v>35</v>
      </c>
      <c r="B12" t="s">
        <v>36</v>
      </c>
      <c r="C12" t="s">
        <v>37</v>
      </c>
      <c r="D12" t="s">
        <v>38</v>
      </c>
      <c r="E12" t="s">
        <v>37</v>
      </c>
      <c r="F12">
        <v>1</v>
      </c>
      <c r="G12">
        <v>0.58429779997095399</v>
      </c>
    </row>
    <row r="13" spans="1:7">
      <c r="A13" t="s">
        <v>35</v>
      </c>
      <c r="B13" t="s">
        <v>46</v>
      </c>
      <c r="C13" t="s">
        <v>37</v>
      </c>
      <c r="D13" t="s">
        <v>47</v>
      </c>
      <c r="E13" t="s">
        <v>37</v>
      </c>
      <c r="F13">
        <v>1</v>
      </c>
      <c r="G13">
        <v>0.54199820000212595</v>
      </c>
    </row>
    <row r="14" spans="1:7">
      <c r="A14" t="s">
        <v>45</v>
      </c>
      <c r="B14" t="s">
        <v>46</v>
      </c>
      <c r="C14" t="s">
        <v>39</v>
      </c>
      <c r="D14" t="s">
        <v>38</v>
      </c>
      <c r="E14" t="s">
        <v>39</v>
      </c>
      <c r="F14">
        <v>1</v>
      </c>
      <c r="G14">
        <v>0.53624200000194799</v>
      </c>
    </row>
    <row r="15" spans="1:7">
      <c r="A15" t="s">
        <v>35</v>
      </c>
      <c r="B15" t="s">
        <v>46</v>
      </c>
      <c r="C15" t="s">
        <v>37</v>
      </c>
      <c r="D15" t="s">
        <v>47</v>
      </c>
      <c r="E15" t="s">
        <v>37</v>
      </c>
      <c r="F15">
        <v>1</v>
      </c>
      <c r="G15">
        <v>0.81457159999990802</v>
      </c>
    </row>
    <row r="16" spans="1:7">
      <c r="A16" t="s">
        <v>45</v>
      </c>
      <c r="B16" t="s">
        <v>36</v>
      </c>
      <c r="C16" t="s">
        <v>39</v>
      </c>
      <c r="D16" t="s">
        <v>47</v>
      </c>
      <c r="E16" t="s">
        <v>39</v>
      </c>
      <c r="F16">
        <v>1</v>
      </c>
      <c r="G16">
        <v>0.67378249997272999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37</v>
      </c>
      <c r="F17">
        <v>1</v>
      </c>
      <c r="G17">
        <v>0.63759939995361403</v>
      </c>
    </row>
    <row r="18" spans="1:7">
      <c r="A18" t="s">
        <v>35</v>
      </c>
      <c r="B18" t="s">
        <v>36</v>
      </c>
      <c r="C18" t="s">
        <v>37</v>
      </c>
      <c r="D18" t="s">
        <v>38</v>
      </c>
      <c r="E18" t="s">
        <v>37</v>
      </c>
      <c r="F18">
        <v>1</v>
      </c>
      <c r="G18">
        <v>2.0705725000006998</v>
      </c>
    </row>
    <row r="19" spans="1:7">
      <c r="A19" t="s">
        <v>45</v>
      </c>
      <c r="B19" t="s">
        <v>36</v>
      </c>
      <c r="C19" t="s">
        <v>39</v>
      </c>
      <c r="D19" t="s">
        <v>47</v>
      </c>
      <c r="E19" t="s">
        <v>39</v>
      </c>
      <c r="F19">
        <v>1</v>
      </c>
      <c r="G19">
        <v>0.73172569996677295</v>
      </c>
    </row>
    <row r="20" spans="1:7">
      <c r="A20" t="s">
        <v>45</v>
      </c>
      <c r="B20" t="s">
        <v>46</v>
      </c>
      <c r="C20" t="s">
        <v>39</v>
      </c>
      <c r="D20" t="s">
        <v>38</v>
      </c>
      <c r="E20" t="s">
        <v>39</v>
      </c>
      <c r="F20">
        <v>1</v>
      </c>
      <c r="G20">
        <v>0.832455100025981</v>
      </c>
    </row>
    <row r="21" spans="1:7">
      <c r="A21" t="s">
        <v>35</v>
      </c>
      <c r="B21" t="s">
        <v>46</v>
      </c>
      <c r="C21" t="s">
        <v>37</v>
      </c>
      <c r="D21" t="s">
        <v>47</v>
      </c>
      <c r="E21" t="s">
        <v>37</v>
      </c>
      <c r="F21">
        <v>1</v>
      </c>
      <c r="G21">
        <v>1.0043604000238699</v>
      </c>
    </row>
    <row r="22" spans="1:7">
      <c r="A22" t="s">
        <v>45</v>
      </c>
      <c r="B22" t="s">
        <v>36</v>
      </c>
      <c r="C22" t="s">
        <v>39</v>
      </c>
      <c r="D22" t="s">
        <v>47</v>
      </c>
      <c r="E22" t="s">
        <v>39</v>
      </c>
      <c r="F22">
        <v>1</v>
      </c>
      <c r="G22">
        <v>0.86609790002694298</v>
      </c>
    </row>
    <row r="23" spans="1:7">
      <c r="A23" t="s">
        <v>45</v>
      </c>
      <c r="B23" t="s">
        <v>46</v>
      </c>
      <c r="C23" t="s">
        <v>39</v>
      </c>
      <c r="D23" t="s">
        <v>38</v>
      </c>
      <c r="E23" t="s">
        <v>39</v>
      </c>
      <c r="F23">
        <v>1</v>
      </c>
      <c r="G23">
        <v>0.91892079997342002</v>
      </c>
    </row>
    <row r="24" spans="1:7">
      <c r="A24" t="s">
        <v>35</v>
      </c>
      <c r="B24" t="s">
        <v>36</v>
      </c>
      <c r="C24" t="s">
        <v>37</v>
      </c>
      <c r="D24" t="s">
        <v>38</v>
      </c>
      <c r="E24" t="s">
        <v>37</v>
      </c>
      <c r="F24">
        <v>1</v>
      </c>
      <c r="G24">
        <v>0.92030639998847596</v>
      </c>
    </row>
    <row r="25" spans="1:7">
      <c r="A25" t="s">
        <v>45</v>
      </c>
      <c r="B25" t="s">
        <v>36</v>
      </c>
      <c r="C25" t="s">
        <v>39</v>
      </c>
      <c r="D25" t="s">
        <v>47</v>
      </c>
      <c r="E25" t="s">
        <v>39</v>
      </c>
      <c r="F25">
        <v>1</v>
      </c>
      <c r="G25">
        <v>0.75474920001579404</v>
      </c>
    </row>
    <row r="26" spans="1:7">
      <c r="A26" t="s">
        <v>45</v>
      </c>
      <c r="B26" t="s">
        <v>46</v>
      </c>
      <c r="C26" t="s">
        <v>39</v>
      </c>
      <c r="D26" t="s">
        <v>38</v>
      </c>
      <c r="E26" t="s">
        <v>39</v>
      </c>
      <c r="F26">
        <v>1</v>
      </c>
      <c r="G26">
        <v>1.1741893000435</v>
      </c>
    </row>
    <row r="27" spans="1:7">
      <c r="A27" t="s">
        <v>35</v>
      </c>
      <c r="B27" t="s">
        <v>36</v>
      </c>
      <c r="C27" t="s">
        <v>37</v>
      </c>
      <c r="D27" t="s">
        <v>38</v>
      </c>
      <c r="E27" t="s">
        <v>37</v>
      </c>
      <c r="F27">
        <v>1</v>
      </c>
      <c r="G27">
        <v>0.91374430002178997</v>
      </c>
    </row>
    <row r="28" spans="1:7">
      <c r="A28" t="s">
        <v>35</v>
      </c>
      <c r="B28" t="s">
        <v>46</v>
      </c>
      <c r="C28" t="s">
        <v>37</v>
      </c>
      <c r="D28" t="s">
        <v>47</v>
      </c>
      <c r="E28" t="s">
        <v>37</v>
      </c>
      <c r="F28">
        <v>1</v>
      </c>
      <c r="G28">
        <v>1.0890523000271</v>
      </c>
    </row>
    <row r="29" spans="1:7">
      <c r="A29" t="s">
        <v>35</v>
      </c>
      <c r="B29" t="s">
        <v>46</v>
      </c>
      <c r="C29" t="s">
        <v>37</v>
      </c>
      <c r="D29" t="s">
        <v>47</v>
      </c>
      <c r="E29" t="s">
        <v>37</v>
      </c>
      <c r="F29">
        <f t="shared" si="0"/>
        <v>0</v>
      </c>
      <c r="G29">
        <v>0.95384209998883296</v>
      </c>
    </row>
    <row r="30" spans="1:7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>
        <v>1</v>
      </c>
      <c r="G30">
        <v>1.1224842999945299</v>
      </c>
    </row>
    <row r="31" spans="1:7">
      <c r="A31" t="s">
        <v>35</v>
      </c>
      <c r="B31" t="s">
        <v>46</v>
      </c>
      <c r="C31" t="s">
        <v>37</v>
      </c>
      <c r="D31" t="s">
        <v>47</v>
      </c>
      <c r="E31" t="s">
        <v>39</v>
      </c>
      <c r="F31">
        <v>1</v>
      </c>
      <c r="G31">
        <v>1.2154754999792201</v>
      </c>
    </row>
    <row r="32" spans="1:7">
      <c r="A32" t="s">
        <v>45</v>
      </c>
      <c r="B32" t="s">
        <v>36</v>
      </c>
      <c r="C32" t="s">
        <v>39</v>
      </c>
      <c r="D32" t="s">
        <v>47</v>
      </c>
      <c r="E32" t="s">
        <v>37</v>
      </c>
      <c r="F32">
        <f t="shared" si="0"/>
        <v>0</v>
      </c>
      <c r="G32">
        <v>1.7420778999803499</v>
      </c>
    </row>
    <row r="33" spans="1:7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>
        <f t="shared" si="0"/>
        <v>0</v>
      </c>
      <c r="G33">
        <v>1.37620140000944</v>
      </c>
    </row>
    <row r="34" spans="1:7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>
        <f t="shared" si="0"/>
        <v>0</v>
      </c>
      <c r="G34">
        <v>1.3038559000124199</v>
      </c>
    </row>
    <row r="35" spans="1:7">
      <c r="A35" t="s">
        <v>45</v>
      </c>
      <c r="B35" t="s">
        <v>46</v>
      </c>
      <c r="C35" t="s">
        <v>39</v>
      </c>
      <c r="D35" t="s">
        <v>38</v>
      </c>
      <c r="E35" t="s">
        <v>37</v>
      </c>
      <c r="F35">
        <f t="shared" si="0"/>
        <v>0</v>
      </c>
      <c r="G35">
        <v>1.1529298000386901</v>
      </c>
    </row>
    <row r="36" spans="1:7">
      <c r="A36" t="s">
        <v>35</v>
      </c>
      <c r="B36" t="s">
        <v>46</v>
      </c>
      <c r="C36" t="s">
        <v>37</v>
      </c>
      <c r="D36" t="s">
        <v>47</v>
      </c>
      <c r="E36" t="s">
        <v>39</v>
      </c>
      <c r="F36">
        <f t="shared" si="0"/>
        <v>0</v>
      </c>
      <c r="G36">
        <v>0.75712670001666904</v>
      </c>
    </row>
    <row r="37" spans="1:7">
      <c r="A37" t="s">
        <v>45</v>
      </c>
      <c r="B37" t="s">
        <v>46</v>
      </c>
      <c r="C37" t="s">
        <v>39</v>
      </c>
      <c r="D37" t="s">
        <v>38</v>
      </c>
      <c r="E37" t="s">
        <v>37</v>
      </c>
      <c r="F37">
        <f t="shared" si="0"/>
        <v>0</v>
      </c>
      <c r="G37">
        <v>1.3498765000258499</v>
      </c>
    </row>
    <row r="38" spans="1:7">
      <c r="A38" t="s">
        <v>35</v>
      </c>
      <c r="B38" t="s">
        <v>46</v>
      </c>
      <c r="C38" t="s">
        <v>37</v>
      </c>
      <c r="D38" t="s">
        <v>47</v>
      </c>
      <c r="E38" t="s">
        <v>39</v>
      </c>
      <c r="F38">
        <f t="shared" si="0"/>
        <v>0</v>
      </c>
      <c r="G38">
        <v>1.0287105999886901</v>
      </c>
    </row>
    <row r="39" spans="1:7">
      <c r="A39" t="s">
        <v>35</v>
      </c>
      <c r="B39" t="s">
        <v>46</v>
      </c>
      <c r="C39" t="s">
        <v>37</v>
      </c>
      <c r="D39" t="s">
        <v>47</v>
      </c>
      <c r="E39" t="s">
        <v>39</v>
      </c>
      <c r="F39">
        <f t="shared" si="0"/>
        <v>0</v>
      </c>
      <c r="G39">
        <v>0.95710280002094805</v>
      </c>
    </row>
    <row r="40" spans="1:7">
      <c r="A40" t="s">
        <v>35</v>
      </c>
      <c r="B40" t="s">
        <v>36</v>
      </c>
      <c r="C40" t="s">
        <v>37</v>
      </c>
      <c r="D40" t="s">
        <v>38</v>
      </c>
      <c r="E40" t="s">
        <v>39</v>
      </c>
      <c r="F40">
        <f t="shared" si="0"/>
        <v>0</v>
      </c>
      <c r="G40">
        <v>1.19709120003972</v>
      </c>
    </row>
    <row r="41" spans="1:7">
      <c r="A41" t="s">
        <v>45</v>
      </c>
      <c r="B41" t="s">
        <v>36</v>
      </c>
      <c r="C41" t="s">
        <v>39</v>
      </c>
      <c r="D41" t="s">
        <v>47</v>
      </c>
      <c r="E41" t="s">
        <v>37</v>
      </c>
      <c r="F41">
        <f t="shared" si="0"/>
        <v>0</v>
      </c>
      <c r="G41">
        <v>0.92763069999637005</v>
      </c>
    </row>
    <row r="42" spans="1:7">
      <c r="A42" t="s">
        <v>45</v>
      </c>
      <c r="B42" t="s">
        <v>46</v>
      </c>
      <c r="C42" t="s">
        <v>39</v>
      </c>
      <c r="D42" t="s">
        <v>38</v>
      </c>
      <c r="E42" t="s">
        <v>37</v>
      </c>
      <c r="F42">
        <f t="shared" si="0"/>
        <v>0</v>
      </c>
      <c r="G42">
        <v>1.1287663999828501</v>
      </c>
    </row>
    <row r="43" spans="1:7">
      <c r="A43" t="s">
        <v>35</v>
      </c>
      <c r="B43" t="s">
        <v>36</v>
      </c>
      <c r="C43" t="s">
        <v>37</v>
      </c>
      <c r="D43" t="s">
        <v>38</v>
      </c>
      <c r="E43" t="s">
        <v>39</v>
      </c>
      <c r="F43">
        <f t="shared" si="0"/>
        <v>0</v>
      </c>
      <c r="G43">
        <v>1.03418650000821</v>
      </c>
    </row>
    <row r="44" spans="1:7">
      <c r="A44" t="s">
        <v>35</v>
      </c>
      <c r="B44" t="s">
        <v>36</v>
      </c>
      <c r="C44" t="s">
        <v>37</v>
      </c>
      <c r="D44" t="s">
        <v>38</v>
      </c>
      <c r="E44" t="s">
        <v>39</v>
      </c>
      <c r="F44">
        <f t="shared" si="0"/>
        <v>0</v>
      </c>
      <c r="G44">
        <v>1.11542039999039</v>
      </c>
    </row>
    <row r="45" spans="1:7">
      <c r="A45" t="s">
        <v>45</v>
      </c>
      <c r="B45" t="s">
        <v>36</v>
      </c>
      <c r="C45" t="s">
        <v>39</v>
      </c>
      <c r="D45" t="s">
        <v>47</v>
      </c>
      <c r="E45" t="s">
        <v>37</v>
      </c>
      <c r="F45">
        <f t="shared" si="0"/>
        <v>0</v>
      </c>
      <c r="G45">
        <v>1.03795399999944</v>
      </c>
    </row>
    <row r="46" spans="1:7">
      <c r="A46" t="s">
        <v>35</v>
      </c>
      <c r="B46" t="s">
        <v>46</v>
      </c>
      <c r="C46" t="s">
        <v>37</v>
      </c>
      <c r="D46" t="s">
        <v>47</v>
      </c>
      <c r="E46" t="s">
        <v>39</v>
      </c>
      <c r="F46">
        <f t="shared" si="0"/>
        <v>0</v>
      </c>
      <c r="G46">
        <v>1.1752110000234</v>
      </c>
    </row>
    <row r="47" spans="1:7">
      <c r="A47" t="s">
        <v>35</v>
      </c>
      <c r="B47" t="s">
        <v>46</v>
      </c>
      <c r="C47" t="s">
        <v>37</v>
      </c>
      <c r="D47" t="s">
        <v>47</v>
      </c>
      <c r="E47" t="s">
        <v>39</v>
      </c>
      <c r="F47">
        <f t="shared" si="0"/>
        <v>0</v>
      </c>
      <c r="G47">
        <v>1.3207487000036</v>
      </c>
    </row>
    <row r="48" spans="1:7">
      <c r="A48" t="s">
        <v>35</v>
      </c>
      <c r="B48" t="s">
        <v>36</v>
      </c>
      <c r="C48" t="s">
        <v>37</v>
      </c>
      <c r="D48" t="s">
        <v>38</v>
      </c>
      <c r="E48" t="s">
        <v>39</v>
      </c>
      <c r="F48">
        <f t="shared" si="0"/>
        <v>0</v>
      </c>
      <c r="G48">
        <v>1.21608569996897</v>
      </c>
    </row>
    <row r="49" spans="1:7">
      <c r="A49" t="s">
        <v>45</v>
      </c>
      <c r="B49" t="s">
        <v>36</v>
      </c>
      <c r="C49" t="s">
        <v>39</v>
      </c>
      <c r="D49" t="s">
        <v>47</v>
      </c>
      <c r="E49" t="s">
        <v>37</v>
      </c>
      <c r="F49">
        <f t="shared" si="0"/>
        <v>0</v>
      </c>
      <c r="G49">
        <v>1.05280380003387</v>
      </c>
    </row>
    <row r="50" spans="1:7">
      <c r="A50" t="s">
        <v>35</v>
      </c>
      <c r="B50" t="s">
        <v>46</v>
      </c>
      <c r="C50" t="s">
        <v>37</v>
      </c>
      <c r="D50" t="s">
        <v>47</v>
      </c>
      <c r="E50" t="s">
        <v>39</v>
      </c>
      <c r="F50">
        <f t="shared" si="0"/>
        <v>0</v>
      </c>
      <c r="G50">
        <v>0.884011399990413</v>
      </c>
    </row>
    <row r="51" spans="1:7">
      <c r="A51" t="s">
        <v>45</v>
      </c>
      <c r="B51" t="s">
        <v>46</v>
      </c>
      <c r="C51" t="s">
        <v>39</v>
      </c>
      <c r="D51" t="s">
        <v>38</v>
      </c>
      <c r="E51" t="s">
        <v>37</v>
      </c>
      <c r="F51">
        <f t="shared" si="0"/>
        <v>0</v>
      </c>
      <c r="G51">
        <v>1.0612352999742101</v>
      </c>
    </row>
    <row r="52" spans="1:7">
      <c r="A52" t="s">
        <v>45</v>
      </c>
      <c r="B52" t="s">
        <v>36</v>
      </c>
      <c r="C52" t="s">
        <v>39</v>
      </c>
      <c r="D52" t="s">
        <v>47</v>
      </c>
      <c r="E52" t="s">
        <v>37</v>
      </c>
      <c r="F52">
        <f t="shared" si="0"/>
        <v>0</v>
      </c>
      <c r="G52">
        <v>0.83401160000357699</v>
      </c>
    </row>
    <row r="53" spans="1:7">
      <c r="A53" t="s">
        <v>45</v>
      </c>
      <c r="B53" t="s">
        <v>36</v>
      </c>
      <c r="C53" t="s">
        <v>39</v>
      </c>
      <c r="D53" t="s">
        <v>47</v>
      </c>
      <c r="E53" t="s">
        <v>37</v>
      </c>
      <c r="F53">
        <f t="shared" si="0"/>
        <v>0</v>
      </c>
      <c r="G53">
        <v>0.64638559997547396</v>
      </c>
    </row>
    <row r="54" spans="1:7">
      <c r="A54" t="s">
        <v>35</v>
      </c>
      <c r="B54" t="s">
        <v>36</v>
      </c>
      <c r="C54" t="s">
        <v>37</v>
      </c>
      <c r="D54" t="s">
        <v>38</v>
      </c>
      <c r="E54" t="s">
        <v>39</v>
      </c>
      <c r="F54">
        <f t="shared" si="0"/>
        <v>0</v>
      </c>
      <c r="G54">
        <v>1.16396550001809</v>
      </c>
    </row>
    <row r="55" spans="1:7">
      <c r="A55" t="s">
        <v>35</v>
      </c>
      <c r="B55" t="s">
        <v>46</v>
      </c>
      <c r="C55" t="s">
        <v>37</v>
      </c>
      <c r="D55" t="s">
        <v>47</v>
      </c>
      <c r="E55" t="s">
        <v>39</v>
      </c>
      <c r="F55">
        <f t="shared" si="0"/>
        <v>0</v>
      </c>
      <c r="G55">
        <v>0.95293520000996002</v>
      </c>
    </row>
    <row r="56" spans="1:7">
      <c r="A56" t="s">
        <v>35</v>
      </c>
      <c r="B56" t="s">
        <v>46</v>
      </c>
      <c r="C56" t="s">
        <v>37</v>
      </c>
      <c r="D56" t="s">
        <v>47</v>
      </c>
      <c r="E56" t="s">
        <v>37</v>
      </c>
      <c r="F56">
        <v>1</v>
      </c>
      <c r="G56">
        <v>10.9797049000044</v>
      </c>
    </row>
    <row r="57" spans="1:7">
      <c r="A57" t="s">
        <v>45</v>
      </c>
      <c r="B57" t="s">
        <v>46</v>
      </c>
      <c r="C57" t="s">
        <v>39</v>
      </c>
      <c r="D57" t="s">
        <v>38</v>
      </c>
      <c r="E57" t="s">
        <v>37</v>
      </c>
      <c r="F57">
        <f t="shared" si="0"/>
        <v>0</v>
      </c>
      <c r="G57">
        <v>0.58278519997838796</v>
      </c>
    </row>
    <row r="58" spans="1:7">
      <c r="A58" t="s">
        <v>35</v>
      </c>
      <c r="B58" t="s">
        <v>46</v>
      </c>
      <c r="C58" t="s">
        <v>37</v>
      </c>
      <c r="D58" t="s">
        <v>47</v>
      </c>
      <c r="E58" t="s">
        <v>37</v>
      </c>
      <c r="F58">
        <v>1</v>
      </c>
      <c r="G58">
        <v>4.3135179000091703</v>
      </c>
    </row>
    <row r="59" spans="1:7">
      <c r="A59" t="s">
        <v>35</v>
      </c>
      <c r="B59" t="s">
        <v>36</v>
      </c>
      <c r="C59" t="s">
        <v>37</v>
      </c>
      <c r="D59" t="s">
        <v>38</v>
      </c>
      <c r="E59" t="s">
        <v>37</v>
      </c>
      <c r="F59">
        <v>1</v>
      </c>
      <c r="G59">
        <v>4.2144861999549903</v>
      </c>
    </row>
    <row r="60" spans="1:7">
      <c r="A60" t="s">
        <v>35</v>
      </c>
      <c r="B60" t="s">
        <v>36</v>
      </c>
      <c r="C60" t="s">
        <v>37</v>
      </c>
      <c r="D60" t="s">
        <v>38</v>
      </c>
      <c r="E60" t="s">
        <v>37</v>
      </c>
      <c r="F60">
        <v>1</v>
      </c>
      <c r="G60">
        <v>5.4415577999898197</v>
      </c>
    </row>
    <row r="61" spans="1:7">
      <c r="A61" t="s">
        <v>45</v>
      </c>
      <c r="B61" t="s">
        <v>46</v>
      </c>
      <c r="C61" t="s">
        <v>39</v>
      </c>
      <c r="D61" t="s">
        <v>38</v>
      </c>
      <c r="E61" t="s">
        <v>37</v>
      </c>
      <c r="F61">
        <f t="shared" si="0"/>
        <v>0</v>
      </c>
      <c r="G61">
        <v>0.64662379998480901</v>
      </c>
    </row>
    <row r="62" spans="1:7">
      <c r="A62" t="s">
        <v>35</v>
      </c>
      <c r="B62" t="s">
        <v>36</v>
      </c>
      <c r="C62" t="s">
        <v>37</v>
      </c>
      <c r="D62" t="s">
        <v>38</v>
      </c>
      <c r="E62" t="s">
        <v>37</v>
      </c>
      <c r="F62">
        <v>1</v>
      </c>
      <c r="G62">
        <v>2.5990594999748202</v>
      </c>
    </row>
    <row r="63" spans="1:7">
      <c r="A63" t="s">
        <v>45</v>
      </c>
      <c r="B63" t="s">
        <v>46</v>
      </c>
      <c r="C63" t="s">
        <v>39</v>
      </c>
      <c r="D63" t="s">
        <v>38</v>
      </c>
      <c r="E63" t="s">
        <v>37</v>
      </c>
      <c r="F63">
        <f t="shared" si="0"/>
        <v>0</v>
      </c>
      <c r="G63">
        <v>0.96882780001033098</v>
      </c>
    </row>
    <row r="64" spans="1:7">
      <c r="A64" t="s">
        <v>35</v>
      </c>
      <c r="B64" t="s">
        <v>46</v>
      </c>
      <c r="C64" t="s">
        <v>37</v>
      </c>
      <c r="D64" t="s">
        <v>47</v>
      </c>
      <c r="E64" t="s">
        <v>37</v>
      </c>
      <c r="F64">
        <v>1</v>
      </c>
      <c r="G64">
        <v>5.4264011000050196</v>
      </c>
    </row>
    <row r="65" spans="1:7">
      <c r="A65" t="s">
        <v>45</v>
      </c>
      <c r="B65" t="s">
        <v>36</v>
      </c>
      <c r="C65" t="s">
        <v>39</v>
      </c>
      <c r="D65" t="s">
        <v>47</v>
      </c>
      <c r="E65" t="s">
        <v>37</v>
      </c>
      <c r="F65">
        <f t="shared" si="0"/>
        <v>0</v>
      </c>
      <c r="G65">
        <v>4.36457979999249</v>
      </c>
    </row>
    <row r="66" spans="1:7">
      <c r="A66" t="s">
        <v>45</v>
      </c>
      <c r="B66" t="s">
        <v>36</v>
      </c>
      <c r="C66" t="s">
        <v>39</v>
      </c>
      <c r="D66" t="s">
        <v>47</v>
      </c>
      <c r="E66" t="s">
        <v>37</v>
      </c>
      <c r="F66">
        <f t="shared" si="0"/>
        <v>0</v>
      </c>
      <c r="G66">
        <v>0.66389329999219604</v>
      </c>
    </row>
    <row r="67" spans="1:7">
      <c r="A67" t="s">
        <v>45</v>
      </c>
      <c r="B67" t="s">
        <v>46</v>
      </c>
      <c r="C67" t="s">
        <v>39</v>
      </c>
      <c r="D67" t="s">
        <v>38</v>
      </c>
      <c r="E67" t="s">
        <v>37</v>
      </c>
      <c r="F67">
        <f t="shared" ref="F67:F101" si="1">IF(OR(AND(A67="red", I67="z"), AND(A67="green", I67="m")), 1, 0)</f>
        <v>0</v>
      </c>
      <c r="G67">
        <v>0.95721139997476701</v>
      </c>
    </row>
    <row r="68" spans="1:7">
      <c r="A68" t="s">
        <v>35</v>
      </c>
      <c r="B68" t="s">
        <v>46</v>
      </c>
      <c r="C68" t="s">
        <v>37</v>
      </c>
      <c r="D68" t="s">
        <v>47</v>
      </c>
      <c r="E68" t="s">
        <v>37</v>
      </c>
      <c r="F68">
        <v>1</v>
      </c>
      <c r="G68">
        <v>8.0906753999879495</v>
      </c>
    </row>
    <row r="69" spans="1:7">
      <c r="A69" t="s">
        <v>35</v>
      </c>
      <c r="B69" t="s">
        <v>46</v>
      </c>
      <c r="C69" t="s">
        <v>37</v>
      </c>
      <c r="D69" t="s">
        <v>47</v>
      </c>
      <c r="E69" t="s">
        <v>39</v>
      </c>
      <c r="F69">
        <f t="shared" si="1"/>
        <v>0</v>
      </c>
      <c r="G69">
        <v>8.2258919000159896</v>
      </c>
    </row>
    <row r="70" spans="1:7">
      <c r="A70" t="s">
        <v>35</v>
      </c>
      <c r="B70" t="s">
        <v>36</v>
      </c>
      <c r="C70" t="s">
        <v>37</v>
      </c>
      <c r="D70" t="s">
        <v>38</v>
      </c>
      <c r="E70" t="s">
        <v>37</v>
      </c>
      <c r="F70">
        <v>1</v>
      </c>
      <c r="G70">
        <v>1.58792910003103</v>
      </c>
    </row>
    <row r="71" spans="1:7">
      <c r="A71" t="s">
        <v>35</v>
      </c>
      <c r="B71" t="s">
        <v>36</v>
      </c>
      <c r="C71" t="s">
        <v>37</v>
      </c>
      <c r="D71" t="s">
        <v>38</v>
      </c>
      <c r="E71" t="s">
        <v>37</v>
      </c>
      <c r="F71">
        <v>1</v>
      </c>
      <c r="G71">
        <v>1.29681799997342</v>
      </c>
    </row>
    <row r="72" spans="1:7">
      <c r="A72" t="s">
        <v>45</v>
      </c>
      <c r="B72" t="s">
        <v>46</v>
      </c>
      <c r="C72" t="s">
        <v>39</v>
      </c>
      <c r="D72" t="s">
        <v>38</v>
      </c>
      <c r="E72" t="s">
        <v>39</v>
      </c>
      <c r="F72">
        <v>1</v>
      </c>
      <c r="G72">
        <v>1.2093874999554799</v>
      </c>
    </row>
    <row r="73" spans="1:7">
      <c r="A73" t="s">
        <v>35</v>
      </c>
      <c r="B73" t="s">
        <v>46</v>
      </c>
      <c r="C73" t="s">
        <v>37</v>
      </c>
      <c r="D73" t="s">
        <v>47</v>
      </c>
      <c r="E73" t="s">
        <v>37</v>
      </c>
      <c r="F73">
        <v>1</v>
      </c>
      <c r="G73">
        <v>1.1488084999728001</v>
      </c>
    </row>
    <row r="74" spans="1:7">
      <c r="A74" t="s">
        <v>35</v>
      </c>
      <c r="B74" t="s">
        <v>36</v>
      </c>
      <c r="C74" t="s">
        <v>37</v>
      </c>
      <c r="D74" t="s">
        <v>38</v>
      </c>
      <c r="E74" t="s">
        <v>37</v>
      </c>
      <c r="F74">
        <v>1</v>
      </c>
      <c r="G74">
        <v>1.3509034999878999</v>
      </c>
    </row>
    <row r="75" spans="1:7">
      <c r="A75" t="s">
        <v>35</v>
      </c>
      <c r="B75" t="s">
        <v>36</v>
      </c>
      <c r="C75" t="s">
        <v>37</v>
      </c>
      <c r="D75" t="s">
        <v>38</v>
      </c>
      <c r="E75" t="s">
        <v>37</v>
      </c>
      <c r="F75">
        <v>1</v>
      </c>
      <c r="G75">
        <v>1.4035152000142199</v>
      </c>
    </row>
    <row r="76" spans="1:7">
      <c r="A76" t="s">
        <v>35</v>
      </c>
      <c r="B76" t="s">
        <v>46</v>
      </c>
      <c r="C76" t="s">
        <v>37</v>
      </c>
      <c r="D76" t="s">
        <v>47</v>
      </c>
      <c r="E76" t="s">
        <v>37</v>
      </c>
      <c r="F76">
        <v>1</v>
      </c>
      <c r="G76">
        <v>1.2977205000352099</v>
      </c>
    </row>
    <row r="77" spans="1:7">
      <c r="A77" t="s">
        <v>45</v>
      </c>
      <c r="B77" t="s">
        <v>36</v>
      </c>
      <c r="C77" t="s">
        <v>39</v>
      </c>
      <c r="D77" t="s">
        <v>47</v>
      </c>
      <c r="E77" t="s">
        <v>39</v>
      </c>
      <c r="F77">
        <v>1</v>
      </c>
      <c r="G77">
        <v>1.1618697000085301</v>
      </c>
    </row>
    <row r="78" spans="1:7">
      <c r="A78" t="s">
        <v>45</v>
      </c>
      <c r="B78" t="s">
        <v>36</v>
      </c>
      <c r="C78" t="s">
        <v>39</v>
      </c>
      <c r="D78" t="s">
        <v>47</v>
      </c>
      <c r="E78" t="s">
        <v>39</v>
      </c>
      <c r="F78">
        <v>1</v>
      </c>
      <c r="G78">
        <v>1.16314469999633</v>
      </c>
    </row>
    <row r="79" spans="1:7">
      <c r="A79" t="s">
        <v>45</v>
      </c>
      <c r="B79" t="s">
        <v>46</v>
      </c>
      <c r="C79" t="s">
        <v>39</v>
      </c>
      <c r="D79" t="s">
        <v>38</v>
      </c>
      <c r="E79" t="s">
        <v>39</v>
      </c>
      <c r="F79">
        <v>1</v>
      </c>
      <c r="G79">
        <v>1.20177859999239</v>
      </c>
    </row>
    <row r="80" spans="1:7">
      <c r="A80" t="s">
        <v>35</v>
      </c>
      <c r="B80" t="s">
        <v>46</v>
      </c>
      <c r="C80" t="s">
        <v>37</v>
      </c>
      <c r="D80" t="s">
        <v>47</v>
      </c>
      <c r="E80" t="s">
        <v>37</v>
      </c>
      <c r="F80">
        <v>1</v>
      </c>
      <c r="G80">
        <v>1.1818449000129401</v>
      </c>
    </row>
    <row r="81" spans="1:7">
      <c r="A81" t="s">
        <v>35</v>
      </c>
      <c r="B81" t="s">
        <v>36</v>
      </c>
      <c r="C81" t="s">
        <v>37</v>
      </c>
      <c r="D81" t="s">
        <v>38</v>
      </c>
      <c r="E81" t="s">
        <v>37</v>
      </c>
      <c r="F81">
        <v>1</v>
      </c>
      <c r="G81">
        <v>1.28505119995679</v>
      </c>
    </row>
    <row r="82" spans="1:7">
      <c r="A82" t="s">
        <v>35</v>
      </c>
      <c r="B82" t="s">
        <v>46</v>
      </c>
      <c r="C82" t="s">
        <v>37</v>
      </c>
      <c r="D82" t="s">
        <v>47</v>
      </c>
      <c r="E82" t="s">
        <v>37</v>
      </c>
      <c r="F82">
        <v>1</v>
      </c>
      <c r="G82">
        <v>1.20806809997884</v>
      </c>
    </row>
    <row r="83" spans="1:7">
      <c r="A83" t="s">
        <v>35</v>
      </c>
      <c r="B83" t="s">
        <v>36</v>
      </c>
      <c r="C83" t="s">
        <v>37</v>
      </c>
      <c r="D83" t="s">
        <v>38</v>
      </c>
      <c r="E83" t="s">
        <v>37</v>
      </c>
      <c r="F83">
        <v>1</v>
      </c>
      <c r="G83">
        <v>1.3135704000014801</v>
      </c>
    </row>
    <row r="84" spans="1:7">
      <c r="A84" t="s">
        <v>45</v>
      </c>
      <c r="B84" t="s">
        <v>46</v>
      </c>
      <c r="C84" t="s">
        <v>39</v>
      </c>
      <c r="D84" t="s">
        <v>38</v>
      </c>
      <c r="E84" t="s">
        <v>39</v>
      </c>
      <c r="F84">
        <v>1</v>
      </c>
      <c r="G84">
        <v>1.42551520001143</v>
      </c>
    </row>
    <row r="85" spans="1:7">
      <c r="A85" t="s">
        <v>45</v>
      </c>
      <c r="B85" t="s">
        <v>36</v>
      </c>
      <c r="C85" t="s">
        <v>39</v>
      </c>
      <c r="D85" t="s">
        <v>47</v>
      </c>
      <c r="E85" t="s">
        <v>39</v>
      </c>
      <c r="F85">
        <v>1</v>
      </c>
      <c r="G85">
        <v>1.34875330002978</v>
      </c>
    </row>
    <row r="86" spans="1:7">
      <c r="A86" t="s">
        <v>45</v>
      </c>
      <c r="B86" t="s">
        <v>36</v>
      </c>
      <c r="C86" t="s">
        <v>39</v>
      </c>
      <c r="D86" t="s">
        <v>47</v>
      </c>
      <c r="E86" t="s">
        <v>39</v>
      </c>
      <c r="F86">
        <v>1</v>
      </c>
      <c r="G86">
        <v>1.0995690000127001</v>
      </c>
    </row>
    <row r="87" spans="1:7">
      <c r="A87" t="s">
        <v>35</v>
      </c>
      <c r="B87" t="s">
        <v>36</v>
      </c>
      <c r="C87" t="s">
        <v>37</v>
      </c>
      <c r="D87" t="s">
        <v>38</v>
      </c>
      <c r="E87" t="s">
        <v>37</v>
      </c>
      <c r="F87">
        <v>1</v>
      </c>
      <c r="G87">
        <v>1.1780217000050399</v>
      </c>
    </row>
    <row r="88" spans="1:7">
      <c r="A88" t="s">
        <v>35</v>
      </c>
      <c r="B88" t="s">
        <v>46</v>
      </c>
      <c r="C88" t="s">
        <v>37</v>
      </c>
      <c r="D88" t="s">
        <v>47</v>
      </c>
      <c r="E88" t="s">
        <v>37</v>
      </c>
      <c r="F88">
        <v>1</v>
      </c>
      <c r="G88">
        <v>1.21449619997292</v>
      </c>
    </row>
    <row r="89" spans="1:7">
      <c r="A89" t="s">
        <v>45</v>
      </c>
      <c r="B89" t="s">
        <v>46</v>
      </c>
      <c r="C89" t="s">
        <v>39</v>
      </c>
      <c r="D89" t="s">
        <v>38</v>
      </c>
      <c r="E89" t="s">
        <v>39</v>
      </c>
      <c r="F89">
        <v>1</v>
      </c>
      <c r="G89">
        <v>1.2549260999658101</v>
      </c>
    </row>
    <row r="90" spans="1:7">
      <c r="A90" t="s">
        <v>35</v>
      </c>
      <c r="B90" t="s">
        <v>46</v>
      </c>
      <c r="C90" t="s">
        <v>37</v>
      </c>
      <c r="D90" t="s">
        <v>47</v>
      </c>
      <c r="E90" t="s">
        <v>37</v>
      </c>
      <c r="F90">
        <v>1</v>
      </c>
      <c r="G90">
        <v>1.34460889996262</v>
      </c>
    </row>
    <row r="91" spans="1:7">
      <c r="A91" t="s">
        <v>35</v>
      </c>
      <c r="B91" t="s">
        <v>36</v>
      </c>
      <c r="C91" t="s">
        <v>37</v>
      </c>
      <c r="D91" t="s">
        <v>38</v>
      </c>
      <c r="E91" t="s">
        <v>37</v>
      </c>
      <c r="F91">
        <v>1</v>
      </c>
      <c r="G91">
        <v>1.2362525000353299</v>
      </c>
    </row>
    <row r="92" spans="1:7">
      <c r="A92" t="s">
        <v>45</v>
      </c>
      <c r="B92" t="s">
        <v>36</v>
      </c>
      <c r="C92" t="s">
        <v>39</v>
      </c>
      <c r="D92" t="s">
        <v>47</v>
      </c>
      <c r="E92" t="s">
        <v>39</v>
      </c>
      <c r="F92">
        <v>1</v>
      </c>
      <c r="G92">
        <v>1.3099823000375099</v>
      </c>
    </row>
    <row r="93" spans="1:7">
      <c r="A93" t="s">
        <v>35</v>
      </c>
      <c r="B93" t="s">
        <v>46</v>
      </c>
      <c r="C93" t="s">
        <v>37</v>
      </c>
      <c r="D93" t="s">
        <v>47</v>
      </c>
      <c r="E93" t="s">
        <v>37</v>
      </c>
      <c r="F93">
        <v>1</v>
      </c>
      <c r="G93">
        <v>1.20072510000318</v>
      </c>
    </row>
    <row r="94" spans="1:7">
      <c r="A94" t="s">
        <v>35</v>
      </c>
      <c r="B94" t="s">
        <v>36</v>
      </c>
      <c r="C94" t="s">
        <v>37</v>
      </c>
      <c r="D94" t="s">
        <v>38</v>
      </c>
      <c r="E94" t="s">
        <v>37</v>
      </c>
      <c r="F94">
        <v>1</v>
      </c>
      <c r="G94">
        <v>1.29355989996111</v>
      </c>
    </row>
    <row r="95" spans="1:7">
      <c r="A95" t="s">
        <v>35</v>
      </c>
      <c r="B95" t="s">
        <v>36</v>
      </c>
      <c r="C95" t="s">
        <v>37</v>
      </c>
      <c r="D95" t="s">
        <v>38</v>
      </c>
      <c r="E95" t="s">
        <v>37</v>
      </c>
      <c r="F95">
        <v>1</v>
      </c>
      <c r="G95">
        <v>1.2426953999674799</v>
      </c>
    </row>
    <row r="96" spans="1:7">
      <c r="A96" t="s">
        <v>35</v>
      </c>
      <c r="B96" t="s">
        <v>46</v>
      </c>
      <c r="C96" t="s">
        <v>37</v>
      </c>
      <c r="D96" t="s">
        <v>47</v>
      </c>
      <c r="E96" t="s">
        <v>37</v>
      </c>
      <c r="F96">
        <v>1</v>
      </c>
      <c r="G96">
        <v>1.0645107000018399</v>
      </c>
    </row>
    <row r="97" spans="1:11">
      <c r="A97" t="s">
        <v>45</v>
      </c>
      <c r="B97" t="s">
        <v>36</v>
      </c>
      <c r="C97" t="s">
        <v>39</v>
      </c>
      <c r="D97" t="s">
        <v>47</v>
      </c>
      <c r="E97" t="s">
        <v>39</v>
      </c>
      <c r="F97">
        <v>1</v>
      </c>
      <c r="G97">
        <v>1.2607224000385</v>
      </c>
    </row>
    <row r="98" spans="1:11">
      <c r="A98" t="s">
        <v>35</v>
      </c>
      <c r="B98" t="s">
        <v>46</v>
      </c>
      <c r="C98" t="s">
        <v>37</v>
      </c>
      <c r="D98" t="s">
        <v>47</v>
      </c>
      <c r="E98" t="s">
        <v>37</v>
      </c>
      <c r="F98">
        <v>1</v>
      </c>
      <c r="G98">
        <v>1.21047120000002</v>
      </c>
    </row>
    <row r="99" spans="1:11">
      <c r="A99" t="s">
        <v>35</v>
      </c>
      <c r="B99" t="s">
        <v>36</v>
      </c>
      <c r="C99" t="s">
        <v>37</v>
      </c>
      <c r="D99" t="s">
        <v>38</v>
      </c>
      <c r="E99" t="s">
        <v>37</v>
      </c>
      <c r="F99">
        <v>1</v>
      </c>
      <c r="G99">
        <v>1.2825780999846701</v>
      </c>
    </row>
    <row r="100" spans="1:11">
      <c r="A100" t="s">
        <v>45</v>
      </c>
      <c r="B100" t="s">
        <v>46</v>
      </c>
      <c r="C100" t="s">
        <v>39</v>
      </c>
      <c r="D100" t="s">
        <v>38</v>
      </c>
      <c r="E100" t="s">
        <v>39</v>
      </c>
      <c r="F100">
        <v>1</v>
      </c>
      <c r="G100">
        <v>1.46688419999554</v>
      </c>
    </row>
    <row r="101" spans="1:11">
      <c r="A101" t="s">
        <v>45</v>
      </c>
      <c r="B101" t="s">
        <v>46</v>
      </c>
      <c r="C101" t="s">
        <v>39</v>
      </c>
      <c r="D101" t="s">
        <v>38</v>
      </c>
      <c r="E101" t="s">
        <v>39</v>
      </c>
      <c r="F101">
        <v>1</v>
      </c>
      <c r="G101">
        <v>1.2857404000242201</v>
      </c>
    </row>
    <row r="102" spans="1:11">
      <c r="H102" s="3"/>
      <c r="J102" s="3"/>
    </row>
    <row r="105" spans="1:11">
      <c r="H105" t="s">
        <v>48</v>
      </c>
      <c r="J105" t="s">
        <v>49</v>
      </c>
    </row>
    <row r="106" spans="1:11">
      <c r="H106" t="s">
        <v>50</v>
      </c>
      <c r="I106">
        <f>AVERAGE(G5:G98)</f>
        <v>1.5763939521263046</v>
      </c>
      <c r="J106" t="s">
        <v>50</v>
      </c>
      <c r="K106">
        <f>AVERAGE(F5:F98)</f>
        <v>0.64893617021276595</v>
      </c>
    </row>
    <row r="107" spans="1:11">
      <c r="H107" t="s">
        <v>51</v>
      </c>
      <c r="I107">
        <f>AVERAGE(G2:G101)</f>
        <v>1.5510446379985632</v>
      </c>
      <c r="J107" t="s">
        <v>51</v>
      </c>
      <c r="K107">
        <f>AVERAGE(F2:F101)</f>
        <v>0.64</v>
      </c>
    </row>
  </sheetData>
  <autoFilter ref="D1:D104" xr:uid="{05EFAF4B-7EE6-4192-9DCC-74791B0CDD5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2025-11-17T04:11:32Z</dcterms:created>
  <dcterms:modified xsi:type="dcterms:W3CDTF">2025-11-17T04:33:02Z</dcterms:modified>
  <cp:category/>
  <cp:contentStatus/>
</cp:coreProperties>
</file>