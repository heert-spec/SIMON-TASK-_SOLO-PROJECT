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E5\EXCELCNV\5bf42216-985f-46bf-a822-9d3680546946\"/>
    </mc:Choice>
  </mc:AlternateContent>
  <xr:revisionPtr revIDLastSave="0" documentId="8_{873C4521-5BE8-4DD2-A5BE-D0E113A9B1F8}" xr6:coauthVersionLast="47" xr6:coauthVersionMax="47" xr10:uidLastSave="{00000000-0000-0000-0000-000000000000}"/>
  <bookViews>
    <workbookView xWindow="-60" yWindow="-60" windowWidth="15480" windowHeight="11640" activeTab="1" xr2:uid="{F80E7002-90DF-4FAE-83C6-DE23EE531BAB}"/>
  </bookViews>
  <sheets>
    <sheet name="in" sheetId="1" r:id="rId1"/>
    <sheet name="CALC" sheetId="2" r:id="rId2"/>
  </sheets>
  <definedNames>
    <definedName name="_xlnm._FilterDatabase" localSheetId="1" hidden="1">CALC!$D$1:$D$101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04" i="2" l="1"/>
  <c r="J104" i="2"/>
  <c r="L103" i="2"/>
  <c r="J103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</calcChain>
</file>

<file path=xl/sharedStrings.xml><?xml version="1.0" encoding="utf-8"?>
<sst xmlns="http://schemas.openxmlformats.org/spreadsheetml/2006/main" count="1748" uniqueCount="52">
  <si>
    <t>color</t>
  </si>
  <si>
    <t>position</t>
  </si>
  <si>
    <t>correct_key</t>
  </si>
  <si>
    <t>congruency</t>
  </si>
  <si>
    <t>key_resp.corr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</si>
  <si>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</si>
  <si>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</si>
  <si>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</si>
  <si>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</si>
  <si>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</si>
  <si>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</si>
  <si>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</si>
  <si>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</si>
  <si>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</si>
  <si>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</si>
  <si>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</si>
  <si>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</si>
  <si>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</si>
  <si>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</si>
  <si>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Stimulus.started</t>
  </si>
  <si>
    <t>key_resp.started</t>
  </si>
  <si>
    <t>fixation.stopped</t>
  </si>
  <si>
    <t>Stimulus.stopped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</si>
  <si>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</si>
  <si>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</si>
  <si>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</si>
  <si>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</si>
  <si>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</si>
  <si>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</si>
  <si>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</si>
  <si>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</si>
  <si>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</si>
  <si>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</si>
  <si>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</si>
  <si>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</si>
  <si>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green</t>
  </si>
  <si>
    <t>[0.3, 0]</t>
  </si>
  <si>
    <t>m</t>
  </si>
  <si>
    <t>congruent</t>
  </si>
  <si>
    <t>None</t>
  </si>
  <si>
    <t>2025-11-15_19h21.12.985</t>
  </si>
  <si>
    <t>SimonTask</t>
  </si>
  <si>
    <t>2025.1.1</t>
  </si>
  <si>
    <t>2025-11-15 19h21.19.203622 +0530</t>
  </si>
  <si>
    <t>red</t>
  </si>
  <si>
    <t>[-0.3, 0]</t>
  </si>
  <si>
    <t>z</t>
  </si>
  <si>
    <t>incongruent</t>
  </si>
  <si>
    <t>MEAN RT</t>
  </si>
  <si>
    <t>ACCURACY</t>
  </si>
  <si>
    <t>CONGRUENT</t>
  </si>
  <si>
    <t>INCONGRUENT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</si>
</sst>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RT_P4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CALC!$I$103:$I$104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CALC!$J$103:$J$104</c:f>
              <c:numCache>
                <c:formatCode>General</c:formatCode>
                <c:ptCount val="2"/>
                <c:pt idx="0">
                  <c:v>1.090557316999982</c:v>
                </c:pt>
                <c:pt idx="1">
                  <c:v>1.0877066593749849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E-443E-BA78-B845256A6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69748744"/>
        <c:axId val="1714133511"/>
      </c:barChart>
      <c:catAx>
        <c:axId val="2697487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4133511"/>
        <c:crosses val="autoZero"/>
        <c:auto val="1"/>
        <c:lblAlgn val="ctr"/>
        <c:lblOffset val="100"/>
        <c:noMultiLvlLbl val="0"/>
      </c:catAx>
      <c:valAx>
        <c:axId val="1714133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REACTION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974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ACCURACY_P4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CALC!$K$103:$K$104</c:f>
              <c:strCache>
                <c:ptCount val="2"/>
                <c:pt idx="0">
                  <c:v>CONGRUENT</c:v>
                </c:pt>
                <c:pt idx="1">
                  <c:v>INCONGRUENT</c:v>
                </c:pt>
              </c:strCache>
            </c:strRef>
          </c:cat>
          <c:val>
            <c:numRef>
              <c:f>CALC!$L$103:$L$104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E1-4FDB-8B3F-60C035C70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6864903"/>
        <c:axId val="1726871047"/>
      </c:barChart>
      <c:catAx>
        <c:axId val="1726864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CONDITION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71047"/>
        <c:crosses val="autoZero"/>
        <c:auto val="1"/>
        <c:lblAlgn val="ctr"/>
        <c:lblOffset val="100"/>
        <c:noMultiLvlLbl val="0"/>
      </c:catAx>
      <c:valAx>
        <c:axId val="1726871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6864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600075</xdr:colOff>
      <xdr:row>69</xdr:row>
      <xdr:rowOff>104775</xdr:rowOff>
    </xdr:from>
    <xdr:to>
      <xdr:col>14</xdr:col>
      <xdr:colOff>161925</xdr:colOff>
      <xdr:row>96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5030DD-97EA-648E-C54F-FE0651CAE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69</xdr:row>
      <xdr:rowOff>114300</xdr:rowOff>
    </xdr:from>
    <xdr:to>
      <xdr:col>22</xdr:col>
      <xdr:colOff>304800</xdr:colOff>
      <xdr:row>97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7BD6D7-3302-88B7-96EB-5767F1F797E5}"/>
            </a:ext>
            <a:ext uri="{147F2762-F138-4A5C-976F-8EAC2B608ADB}">
              <a16:predDERef xmlns:a16="http://schemas.microsoft.com/office/drawing/2014/main" pred="{EB5030DD-97EA-648E-C54F-FE0651CAE9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810E8-7623-4F3F-9B39-74D598611819}">
  <dimension ref="A1:AI101"/>
  <sheetViews>
    <sheetView workbookViewId="0">
      <selection activeCell="I1" sqref="I1:J1"/>
    </sheetView>
  </sheetViews>
  <sheetFormatPr defaultRowHeight="15"/>
  <cols>
    <col min="4" max="4" width="11.140625" customWidth="1"/>
    <col min="5" max="5" width="12.7109375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>
      <c r="A2" t="s">
        <v>35</v>
      </c>
      <c r="B2" t="s">
        <v>36</v>
      </c>
      <c r="C2" t="s">
        <v>37</v>
      </c>
      <c r="D2" t="s">
        <v>38</v>
      </c>
      <c r="E2">
        <f>IF(OR(AND(A2="red", I2="z"), AND(A2="green", I2="m")), 1, 0)</f>
        <v>1</v>
      </c>
      <c r="F2">
        <v>0</v>
      </c>
      <c r="G2">
        <v>0</v>
      </c>
      <c r="H2">
        <v>0</v>
      </c>
      <c r="I2" t="s">
        <v>37</v>
      </c>
      <c r="J2">
        <v>2.0105131000000198</v>
      </c>
      <c r="K2" t="s">
        <v>39</v>
      </c>
      <c r="L2">
        <v>0</v>
      </c>
      <c r="M2">
        <v>0</v>
      </c>
      <c r="N2">
        <v>0</v>
      </c>
      <c r="O2">
        <v>3</v>
      </c>
      <c r="P2">
        <v>1.7818700000134399E-2</v>
      </c>
      <c r="R2">
        <v>1.10520000007454E-2</v>
      </c>
      <c r="S2">
        <v>1.7818700000134399E-2</v>
      </c>
      <c r="T2">
        <v>1.7818700000134399E-2</v>
      </c>
      <c r="U2">
        <v>1.7818700000134399E-2</v>
      </c>
      <c r="V2">
        <v>0.53128490000017303</v>
      </c>
      <c r="W2">
        <v>1.0312771000008001</v>
      </c>
      <c r="X2">
        <v>2.0423545000003198</v>
      </c>
      <c r="Y2" t="s">
        <v>37</v>
      </c>
      <c r="Z2">
        <v>2.0105131000000198</v>
      </c>
      <c r="AA2" t="s">
        <v>39</v>
      </c>
      <c r="AB2">
        <v>4</v>
      </c>
      <c r="AC2">
        <v>1</v>
      </c>
      <c r="AD2" t="s">
        <v>40</v>
      </c>
      <c r="AE2" t="s">
        <v>41</v>
      </c>
      <c r="AG2" t="s">
        <v>42</v>
      </c>
      <c r="AH2">
        <v>60.050394290668599</v>
      </c>
      <c r="AI2" t="s">
        <v>43</v>
      </c>
    </row>
    <row r="3" spans="1:35">
      <c r="A3" t="s">
        <v>44</v>
      </c>
      <c r="B3" t="s">
        <v>45</v>
      </c>
      <c r="C3" t="s">
        <v>46</v>
      </c>
      <c r="D3" t="s">
        <v>38</v>
      </c>
      <c r="E3">
        <f>IF(OR(AND(A3="red", I3="z"), AND(A3="green", I3="m")), 1, 0)</f>
        <v>1</v>
      </c>
      <c r="F3">
        <v>1</v>
      </c>
      <c r="G3">
        <v>1</v>
      </c>
      <c r="H3">
        <v>0</v>
      </c>
      <c r="I3" t="s">
        <v>46</v>
      </c>
      <c r="J3">
        <v>0.67036929999994699</v>
      </c>
      <c r="K3" t="s">
        <v>39</v>
      </c>
      <c r="L3">
        <v>0</v>
      </c>
      <c r="M3">
        <v>1</v>
      </c>
      <c r="N3">
        <v>1</v>
      </c>
      <c r="O3">
        <v>4</v>
      </c>
      <c r="P3">
        <v>2.0483336000006598</v>
      </c>
      <c r="R3">
        <v>2.04343690000041</v>
      </c>
      <c r="S3">
        <v>2.0483336000006598</v>
      </c>
      <c r="T3">
        <v>2.0483336000006598</v>
      </c>
      <c r="U3">
        <v>2.0483336000006598</v>
      </c>
      <c r="V3">
        <v>2.5639120000005202</v>
      </c>
      <c r="X3">
        <v>2.7313513000008198</v>
      </c>
      <c r="Y3" t="s">
        <v>46</v>
      </c>
      <c r="Z3">
        <v>0.67036929999994699</v>
      </c>
      <c r="AA3" t="s">
        <v>39</v>
      </c>
      <c r="AB3">
        <v>4</v>
      </c>
      <c r="AC3">
        <v>1</v>
      </c>
      <c r="AD3" t="s">
        <v>40</v>
      </c>
      <c r="AE3" t="s">
        <v>41</v>
      </c>
      <c r="AG3" t="s">
        <v>42</v>
      </c>
      <c r="AH3">
        <v>60.050394290668599</v>
      </c>
      <c r="AI3" t="s">
        <v>43</v>
      </c>
    </row>
    <row r="4" spans="1:35">
      <c r="A4" t="s">
        <v>35</v>
      </c>
      <c r="B4" t="s">
        <v>45</v>
      </c>
      <c r="C4" t="s">
        <v>37</v>
      </c>
      <c r="D4" t="s">
        <v>47</v>
      </c>
      <c r="E4">
        <f t="shared" ref="E3:E66" si="0">IF(OR(AND(A4="red", I4="z"), AND(A4="green", I4="m")), 1, 0)</f>
        <v>1</v>
      </c>
      <c r="F4">
        <v>2</v>
      </c>
      <c r="G4">
        <v>2</v>
      </c>
      <c r="H4">
        <v>0</v>
      </c>
      <c r="I4" t="s">
        <v>37</v>
      </c>
      <c r="J4">
        <v>0.79587030000038705</v>
      </c>
      <c r="K4" t="s">
        <v>39</v>
      </c>
      <c r="L4">
        <v>0</v>
      </c>
      <c r="M4">
        <v>2</v>
      </c>
      <c r="N4">
        <v>2</v>
      </c>
      <c r="O4">
        <v>6</v>
      </c>
      <c r="P4">
        <v>2.7474595000003301</v>
      </c>
      <c r="R4">
        <v>2.7325299000003702</v>
      </c>
      <c r="S4">
        <v>2.7474595000003301</v>
      </c>
      <c r="T4">
        <v>2.7474595000003301</v>
      </c>
      <c r="U4">
        <v>2.7474595000003301</v>
      </c>
      <c r="V4">
        <v>3.2473170000002902</v>
      </c>
      <c r="X4">
        <v>3.5479715000001302</v>
      </c>
      <c r="Y4" t="s">
        <v>37</v>
      </c>
      <c r="Z4">
        <v>0.79587030000038705</v>
      </c>
      <c r="AA4" t="s">
        <v>39</v>
      </c>
      <c r="AB4">
        <v>4</v>
      </c>
      <c r="AC4">
        <v>1</v>
      </c>
      <c r="AD4" t="s">
        <v>40</v>
      </c>
      <c r="AE4" t="s">
        <v>41</v>
      </c>
      <c r="AG4" t="s">
        <v>42</v>
      </c>
      <c r="AH4">
        <v>60.050394290668599</v>
      </c>
      <c r="AI4" t="s">
        <v>43</v>
      </c>
    </row>
    <row r="5" spans="1:35">
      <c r="A5" t="s">
        <v>35</v>
      </c>
      <c r="B5" t="s">
        <v>45</v>
      </c>
      <c r="C5" t="s">
        <v>37</v>
      </c>
      <c r="D5" t="s">
        <v>47</v>
      </c>
      <c r="E5">
        <f t="shared" si="0"/>
        <v>1</v>
      </c>
      <c r="F5">
        <v>3</v>
      </c>
      <c r="G5">
        <v>3</v>
      </c>
      <c r="H5">
        <v>0</v>
      </c>
      <c r="I5" t="s">
        <v>37</v>
      </c>
      <c r="J5">
        <v>0.86755989999983196</v>
      </c>
      <c r="K5" t="s">
        <v>39</v>
      </c>
      <c r="L5">
        <v>0</v>
      </c>
      <c r="M5">
        <v>3</v>
      </c>
      <c r="N5">
        <v>3</v>
      </c>
      <c r="O5">
        <v>2</v>
      </c>
      <c r="P5">
        <v>3.5637116000007101</v>
      </c>
      <c r="R5">
        <v>3.5498057000004302</v>
      </c>
      <c r="S5">
        <v>3.5637116000007101</v>
      </c>
      <c r="T5">
        <v>3.5637116000007101</v>
      </c>
      <c r="U5">
        <v>3.5637116000007101</v>
      </c>
      <c r="V5">
        <v>4.0637046000001602</v>
      </c>
      <c r="X5">
        <v>4.4474468000007601</v>
      </c>
      <c r="Y5" t="s">
        <v>37</v>
      </c>
      <c r="Z5">
        <v>0.86755989999983196</v>
      </c>
      <c r="AA5" t="s">
        <v>39</v>
      </c>
      <c r="AB5">
        <v>4</v>
      </c>
      <c r="AC5">
        <v>1</v>
      </c>
      <c r="AD5" t="s">
        <v>40</v>
      </c>
      <c r="AE5" t="s">
        <v>41</v>
      </c>
      <c r="AG5" t="s">
        <v>42</v>
      </c>
      <c r="AH5">
        <v>60.050394290668599</v>
      </c>
      <c r="AI5" t="s">
        <v>43</v>
      </c>
    </row>
    <row r="6" spans="1:35">
      <c r="A6" t="s">
        <v>44</v>
      </c>
      <c r="B6" t="s">
        <v>36</v>
      </c>
      <c r="C6" t="s">
        <v>46</v>
      </c>
      <c r="D6" t="s">
        <v>47</v>
      </c>
      <c r="E6">
        <f t="shared" si="0"/>
        <v>1</v>
      </c>
      <c r="F6">
        <v>4</v>
      </c>
      <c r="G6">
        <v>4</v>
      </c>
      <c r="H6">
        <v>0</v>
      </c>
      <c r="I6" t="s">
        <v>46</v>
      </c>
      <c r="J6">
        <v>0.80673810000007495</v>
      </c>
      <c r="K6" t="s">
        <v>39</v>
      </c>
      <c r="L6">
        <v>0</v>
      </c>
      <c r="M6">
        <v>4</v>
      </c>
      <c r="N6">
        <v>4</v>
      </c>
      <c r="O6">
        <v>5</v>
      </c>
      <c r="P6">
        <v>4.4635997000004801</v>
      </c>
      <c r="R6">
        <v>4.4486381000005997</v>
      </c>
      <c r="S6">
        <v>4.4635997000004801</v>
      </c>
      <c r="T6">
        <v>4.4635997000004801</v>
      </c>
      <c r="U6">
        <v>4.4635997000004801</v>
      </c>
      <c r="V6">
        <v>4.9634997000002796</v>
      </c>
      <c r="X6">
        <v>5.2805551999999798</v>
      </c>
      <c r="Y6" t="s">
        <v>46</v>
      </c>
      <c r="Z6">
        <v>0.80673810000007495</v>
      </c>
      <c r="AA6" t="s">
        <v>39</v>
      </c>
      <c r="AB6">
        <v>4</v>
      </c>
      <c r="AC6">
        <v>1</v>
      </c>
      <c r="AD6" t="s">
        <v>40</v>
      </c>
      <c r="AE6" t="s">
        <v>41</v>
      </c>
      <c r="AG6" t="s">
        <v>42</v>
      </c>
      <c r="AH6">
        <v>60.050394290668599</v>
      </c>
      <c r="AI6" t="s">
        <v>43</v>
      </c>
    </row>
    <row r="7" spans="1:35">
      <c r="A7" t="s">
        <v>44</v>
      </c>
      <c r="B7" t="s">
        <v>36</v>
      </c>
      <c r="C7" t="s">
        <v>46</v>
      </c>
      <c r="D7" t="s">
        <v>47</v>
      </c>
      <c r="E7">
        <f t="shared" si="0"/>
        <v>1</v>
      </c>
      <c r="F7">
        <v>5</v>
      </c>
      <c r="G7">
        <v>5</v>
      </c>
      <c r="H7">
        <v>0</v>
      </c>
      <c r="I7" t="s">
        <v>46</v>
      </c>
      <c r="J7">
        <v>0.89729010000064502</v>
      </c>
      <c r="K7" t="s">
        <v>39</v>
      </c>
      <c r="L7">
        <v>0</v>
      </c>
      <c r="M7">
        <v>5</v>
      </c>
      <c r="N7">
        <v>5</v>
      </c>
      <c r="O7">
        <v>1</v>
      </c>
      <c r="P7">
        <v>5.2965628000001699</v>
      </c>
      <c r="R7">
        <v>5.2817665000002298</v>
      </c>
      <c r="S7">
        <v>5.2965628000001699</v>
      </c>
      <c r="T7">
        <v>5.2965628000001699</v>
      </c>
      <c r="U7">
        <v>5.2965628000001699</v>
      </c>
      <c r="V7">
        <v>5.7962757000004697</v>
      </c>
      <c r="X7">
        <v>6.1972670000004602</v>
      </c>
      <c r="Y7" t="s">
        <v>46</v>
      </c>
      <c r="Z7">
        <v>0.89729010000064502</v>
      </c>
      <c r="AA7" t="s">
        <v>39</v>
      </c>
      <c r="AB7">
        <v>4</v>
      </c>
      <c r="AC7">
        <v>1</v>
      </c>
      <c r="AD7" t="s">
        <v>40</v>
      </c>
      <c r="AE7" t="s">
        <v>41</v>
      </c>
      <c r="AG7" t="s">
        <v>42</v>
      </c>
      <c r="AH7">
        <v>60.050394290668599</v>
      </c>
      <c r="AI7" t="s">
        <v>43</v>
      </c>
    </row>
    <row r="8" spans="1:35">
      <c r="A8" t="s">
        <v>35</v>
      </c>
      <c r="B8" t="s">
        <v>36</v>
      </c>
      <c r="C8" t="s">
        <v>37</v>
      </c>
      <c r="D8" t="s">
        <v>38</v>
      </c>
      <c r="E8">
        <f t="shared" si="0"/>
        <v>1</v>
      </c>
      <c r="F8">
        <v>6</v>
      </c>
      <c r="G8">
        <v>6</v>
      </c>
      <c r="H8">
        <v>0</v>
      </c>
      <c r="I8" t="s">
        <v>37</v>
      </c>
      <c r="J8">
        <v>0.77167970000027697</v>
      </c>
      <c r="K8" t="s">
        <v>39</v>
      </c>
      <c r="L8">
        <v>0</v>
      </c>
      <c r="M8">
        <v>6</v>
      </c>
      <c r="N8">
        <v>6</v>
      </c>
      <c r="O8">
        <v>7</v>
      </c>
      <c r="P8">
        <v>6.21280070000011</v>
      </c>
      <c r="R8">
        <v>6.1985638000005503</v>
      </c>
      <c r="S8">
        <v>6.21280070000011</v>
      </c>
      <c r="T8">
        <v>6.21280070000011</v>
      </c>
      <c r="U8">
        <v>6.21280070000011</v>
      </c>
      <c r="V8">
        <v>6.7129655000007897</v>
      </c>
      <c r="X8">
        <v>6.9967460000007096</v>
      </c>
      <c r="Y8" t="s">
        <v>37</v>
      </c>
      <c r="Z8">
        <v>0.77167970000027697</v>
      </c>
      <c r="AA8" t="s">
        <v>39</v>
      </c>
      <c r="AB8">
        <v>4</v>
      </c>
      <c r="AC8">
        <v>1</v>
      </c>
      <c r="AD8" t="s">
        <v>40</v>
      </c>
      <c r="AE8" t="s">
        <v>41</v>
      </c>
      <c r="AG8" t="s">
        <v>42</v>
      </c>
      <c r="AH8">
        <v>60.050394290668599</v>
      </c>
      <c r="AI8" t="s">
        <v>43</v>
      </c>
    </row>
    <row r="9" spans="1:35">
      <c r="A9" t="s">
        <v>44</v>
      </c>
      <c r="B9" t="s">
        <v>45</v>
      </c>
      <c r="C9" t="s">
        <v>46</v>
      </c>
      <c r="D9" t="s">
        <v>38</v>
      </c>
      <c r="E9">
        <f t="shared" si="0"/>
        <v>1</v>
      </c>
      <c r="F9">
        <v>7</v>
      </c>
      <c r="G9">
        <v>7</v>
      </c>
      <c r="H9">
        <v>0</v>
      </c>
      <c r="I9" t="s">
        <v>46</v>
      </c>
      <c r="J9">
        <v>0.86243829999966604</v>
      </c>
      <c r="K9" t="s">
        <v>39</v>
      </c>
      <c r="L9">
        <v>0</v>
      </c>
      <c r="M9">
        <v>7</v>
      </c>
      <c r="N9">
        <v>7</v>
      </c>
      <c r="O9">
        <v>8</v>
      </c>
      <c r="P9">
        <v>7.0124442000005702</v>
      </c>
      <c r="R9">
        <v>6.9980591000003098</v>
      </c>
      <c r="S9">
        <v>7.0124442000005702</v>
      </c>
      <c r="T9">
        <v>7.0124442000005702</v>
      </c>
      <c r="U9">
        <v>7.0124442000005702</v>
      </c>
      <c r="V9">
        <v>7.5124746000001297</v>
      </c>
      <c r="X9">
        <v>7.8798062000005302</v>
      </c>
      <c r="Y9" t="s">
        <v>46</v>
      </c>
      <c r="Z9">
        <v>0.86243829999966604</v>
      </c>
      <c r="AA9" t="s">
        <v>39</v>
      </c>
      <c r="AB9">
        <v>4</v>
      </c>
      <c r="AC9">
        <v>1</v>
      </c>
      <c r="AD9" t="s">
        <v>40</v>
      </c>
      <c r="AE9" t="s">
        <v>41</v>
      </c>
      <c r="AG9" t="s">
        <v>42</v>
      </c>
      <c r="AH9">
        <v>60.050394290668599</v>
      </c>
      <c r="AI9" t="s">
        <v>43</v>
      </c>
    </row>
    <row r="10" spans="1:35">
      <c r="A10" t="s">
        <v>44</v>
      </c>
      <c r="B10" t="s">
        <v>36</v>
      </c>
      <c r="C10" t="s">
        <v>46</v>
      </c>
      <c r="D10" t="s">
        <v>47</v>
      </c>
      <c r="E10">
        <f t="shared" si="0"/>
        <v>1</v>
      </c>
      <c r="F10">
        <v>8</v>
      </c>
      <c r="G10">
        <v>8</v>
      </c>
      <c r="H10">
        <v>0</v>
      </c>
      <c r="I10" t="s">
        <v>46</v>
      </c>
      <c r="J10">
        <v>1.1747338000004599</v>
      </c>
      <c r="K10" t="s">
        <v>39</v>
      </c>
      <c r="L10">
        <v>0</v>
      </c>
      <c r="M10">
        <v>8</v>
      </c>
      <c r="N10">
        <v>8</v>
      </c>
      <c r="O10">
        <v>9</v>
      </c>
      <c r="P10">
        <v>7.8954775000001902</v>
      </c>
      <c r="R10">
        <v>7.88102290000006</v>
      </c>
      <c r="S10">
        <v>7.8954775000001902</v>
      </c>
      <c r="T10">
        <v>7.8954775000001902</v>
      </c>
      <c r="U10">
        <v>7.8954775000001902</v>
      </c>
      <c r="V10">
        <v>8.3956504000007008</v>
      </c>
      <c r="W10">
        <v>8.8954714000001296</v>
      </c>
      <c r="X10">
        <v>9.0790240000005706</v>
      </c>
      <c r="Y10" t="s">
        <v>46</v>
      </c>
      <c r="Z10">
        <v>1.1747338000004599</v>
      </c>
      <c r="AA10" t="s">
        <v>39</v>
      </c>
      <c r="AB10">
        <v>4</v>
      </c>
      <c r="AC10">
        <v>1</v>
      </c>
      <c r="AD10" t="s">
        <v>40</v>
      </c>
      <c r="AE10" t="s">
        <v>41</v>
      </c>
      <c r="AG10" t="s">
        <v>42</v>
      </c>
      <c r="AH10">
        <v>60.050394290668599</v>
      </c>
      <c r="AI10" t="s">
        <v>43</v>
      </c>
    </row>
    <row r="11" spans="1:35">
      <c r="A11" t="s">
        <v>44</v>
      </c>
      <c r="B11" t="s">
        <v>45</v>
      </c>
      <c r="C11" t="s">
        <v>46</v>
      </c>
      <c r="D11" t="s">
        <v>38</v>
      </c>
      <c r="E11">
        <f t="shared" si="0"/>
        <v>1</v>
      </c>
      <c r="F11">
        <v>9</v>
      </c>
      <c r="G11">
        <v>9</v>
      </c>
      <c r="H11">
        <v>0</v>
      </c>
      <c r="I11" t="s">
        <v>46</v>
      </c>
      <c r="J11">
        <v>0.975605399999949</v>
      </c>
      <c r="K11" t="s">
        <v>39</v>
      </c>
      <c r="L11">
        <v>0</v>
      </c>
      <c r="M11">
        <v>9</v>
      </c>
      <c r="N11">
        <v>9</v>
      </c>
      <c r="O11">
        <v>0</v>
      </c>
      <c r="P11">
        <v>9.0951139000007899</v>
      </c>
      <c r="R11">
        <v>9.0802616999999302</v>
      </c>
      <c r="S11">
        <v>9.0951139000007899</v>
      </c>
      <c r="T11">
        <v>9.0951139000007899</v>
      </c>
      <c r="U11">
        <v>9.0951139000007899</v>
      </c>
      <c r="V11">
        <v>9.5952494000002808</v>
      </c>
      <c r="W11">
        <v>10.0946669000004</v>
      </c>
      <c r="X11">
        <v>10.079208500000201</v>
      </c>
      <c r="Y11" t="s">
        <v>46</v>
      </c>
      <c r="Z11">
        <v>0.975605399999949</v>
      </c>
      <c r="AA11" t="s">
        <v>39</v>
      </c>
      <c r="AB11">
        <v>4</v>
      </c>
      <c r="AC11">
        <v>1</v>
      </c>
      <c r="AD11" t="s">
        <v>40</v>
      </c>
      <c r="AE11" t="s">
        <v>41</v>
      </c>
      <c r="AG11" t="s">
        <v>42</v>
      </c>
      <c r="AH11">
        <v>60.050394290668599</v>
      </c>
      <c r="AI11" t="s">
        <v>43</v>
      </c>
    </row>
    <row r="12" spans="1:35">
      <c r="A12" t="s">
        <v>35</v>
      </c>
      <c r="B12" t="s">
        <v>36</v>
      </c>
      <c r="C12" t="s">
        <v>37</v>
      </c>
      <c r="D12" t="s">
        <v>38</v>
      </c>
      <c r="E12">
        <f t="shared" si="0"/>
        <v>1</v>
      </c>
      <c r="F12">
        <v>10</v>
      </c>
      <c r="G12">
        <v>0</v>
      </c>
      <c r="H12">
        <v>1</v>
      </c>
      <c r="I12" t="s">
        <v>37</v>
      </c>
      <c r="J12">
        <v>0.81135180000001095</v>
      </c>
      <c r="K12" t="s">
        <v>39</v>
      </c>
      <c r="L12">
        <v>1</v>
      </c>
      <c r="M12">
        <v>0</v>
      </c>
      <c r="N12">
        <v>10</v>
      </c>
      <c r="O12">
        <v>3</v>
      </c>
      <c r="P12">
        <v>10.0946669000004</v>
      </c>
      <c r="R12">
        <v>10.080421399999899</v>
      </c>
      <c r="S12">
        <v>10.0946669000004</v>
      </c>
      <c r="T12">
        <v>10.0946669000004</v>
      </c>
      <c r="U12">
        <v>10.0946669000004</v>
      </c>
      <c r="V12">
        <v>10.594903200000701</v>
      </c>
      <c r="X12">
        <v>10.9123134000001</v>
      </c>
      <c r="Y12" t="s">
        <v>37</v>
      </c>
      <c r="Z12">
        <v>0.81135180000001095</v>
      </c>
      <c r="AA12" t="s">
        <v>39</v>
      </c>
      <c r="AB12">
        <v>4</v>
      </c>
      <c r="AC12">
        <v>1</v>
      </c>
      <c r="AD12" t="s">
        <v>40</v>
      </c>
      <c r="AE12" t="s">
        <v>41</v>
      </c>
      <c r="AG12" t="s">
        <v>42</v>
      </c>
      <c r="AH12">
        <v>60.050394290668599</v>
      </c>
      <c r="AI12" t="s">
        <v>43</v>
      </c>
    </row>
    <row r="13" spans="1:35">
      <c r="A13" t="s">
        <v>44</v>
      </c>
      <c r="B13" t="s">
        <v>36</v>
      </c>
      <c r="C13" t="s">
        <v>46</v>
      </c>
      <c r="D13" t="s">
        <v>47</v>
      </c>
      <c r="E13">
        <f t="shared" si="0"/>
        <v>1</v>
      </c>
      <c r="F13">
        <v>11</v>
      </c>
      <c r="G13">
        <v>1</v>
      </c>
      <c r="H13">
        <v>1</v>
      </c>
      <c r="I13" t="s">
        <v>46</v>
      </c>
      <c r="J13">
        <v>0.81591870000011102</v>
      </c>
      <c r="K13" t="s">
        <v>39</v>
      </c>
      <c r="L13">
        <v>1</v>
      </c>
      <c r="M13">
        <v>1</v>
      </c>
      <c r="N13">
        <v>11</v>
      </c>
      <c r="O13">
        <v>1</v>
      </c>
      <c r="P13">
        <v>10.9276614</v>
      </c>
      <c r="R13">
        <v>10.9136785</v>
      </c>
      <c r="S13">
        <v>10.9276614</v>
      </c>
      <c r="T13">
        <v>10.9276614</v>
      </c>
      <c r="U13">
        <v>10.9276614</v>
      </c>
      <c r="V13">
        <v>11.4276656000001</v>
      </c>
      <c r="X13">
        <v>11.7453013000003</v>
      </c>
      <c r="Y13" t="s">
        <v>46</v>
      </c>
      <c r="Z13">
        <v>0.81591870000011102</v>
      </c>
      <c r="AA13" t="s">
        <v>39</v>
      </c>
      <c r="AB13">
        <v>4</v>
      </c>
      <c r="AC13">
        <v>1</v>
      </c>
      <c r="AD13" t="s">
        <v>40</v>
      </c>
      <c r="AE13" t="s">
        <v>41</v>
      </c>
      <c r="AG13" t="s">
        <v>42</v>
      </c>
      <c r="AH13">
        <v>60.050394290668599</v>
      </c>
      <c r="AI13" t="s">
        <v>43</v>
      </c>
    </row>
    <row r="14" spans="1:35">
      <c r="A14" t="s">
        <v>44</v>
      </c>
      <c r="B14" t="s">
        <v>45</v>
      </c>
      <c r="C14" t="s">
        <v>46</v>
      </c>
      <c r="D14" t="s">
        <v>38</v>
      </c>
      <c r="E14">
        <f t="shared" si="0"/>
        <v>1</v>
      </c>
      <c r="F14">
        <v>12</v>
      </c>
      <c r="G14">
        <v>2</v>
      </c>
      <c r="H14">
        <v>1</v>
      </c>
      <c r="I14" t="s">
        <v>46</v>
      </c>
      <c r="J14">
        <v>0.87148929999966596</v>
      </c>
      <c r="K14" t="s">
        <v>39</v>
      </c>
      <c r="L14">
        <v>1</v>
      </c>
      <c r="M14">
        <v>2</v>
      </c>
      <c r="N14">
        <v>12</v>
      </c>
      <c r="O14">
        <v>4</v>
      </c>
      <c r="P14">
        <v>11.7608404000002</v>
      </c>
      <c r="R14">
        <v>11.746524900000599</v>
      </c>
      <c r="S14">
        <v>11.7608404000002</v>
      </c>
      <c r="T14">
        <v>11.7608404000002</v>
      </c>
      <c r="U14">
        <v>11.7608404000002</v>
      </c>
      <c r="V14">
        <v>12.261051400000699</v>
      </c>
      <c r="X14">
        <v>12.644633400000201</v>
      </c>
      <c r="Y14" t="s">
        <v>46</v>
      </c>
      <c r="Z14">
        <v>0.87148929999966596</v>
      </c>
      <c r="AA14" t="s">
        <v>39</v>
      </c>
      <c r="AB14">
        <v>4</v>
      </c>
      <c r="AC14">
        <v>1</v>
      </c>
      <c r="AD14" t="s">
        <v>40</v>
      </c>
      <c r="AE14" t="s">
        <v>41</v>
      </c>
      <c r="AG14" t="s">
        <v>42</v>
      </c>
      <c r="AH14">
        <v>60.050394290668599</v>
      </c>
      <c r="AI14" t="s">
        <v>43</v>
      </c>
    </row>
    <row r="15" spans="1:35">
      <c r="A15" t="s">
        <v>35</v>
      </c>
      <c r="B15" t="s">
        <v>36</v>
      </c>
      <c r="C15" t="s">
        <v>37</v>
      </c>
      <c r="D15" t="s">
        <v>38</v>
      </c>
      <c r="E15">
        <f t="shared" si="0"/>
        <v>1</v>
      </c>
      <c r="F15">
        <v>13</v>
      </c>
      <c r="G15">
        <v>3</v>
      </c>
      <c r="H15">
        <v>1</v>
      </c>
      <c r="I15" t="s">
        <v>37</v>
      </c>
      <c r="J15">
        <v>0.93524989999968899</v>
      </c>
      <c r="K15" t="s">
        <v>39</v>
      </c>
      <c r="L15">
        <v>1</v>
      </c>
      <c r="M15">
        <v>3</v>
      </c>
      <c r="N15">
        <v>13</v>
      </c>
      <c r="O15">
        <v>7</v>
      </c>
      <c r="P15">
        <v>12.660542299999999</v>
      </c>
      <c r="R15">
        <v>12.646180500000799</v>
      </c>
      <c r="S15">
        <v>12.660542299999999</v>
      </c>
      <c r="T15">
        <v>12.660542299999999</v>
      </c>
      <c r="U15">
        <v>12.660542299999999</v>
      </c>
      <c r="V15">
        <v>13.160638000000199</v>
      </c>
      <c r="X15">
        <v>13.611481000000801</v>
      </c>
      <c r="Y15" t="s">
        <v>37</v>
      </c>
      <c r="Z15">
        <v>0.93524989999968899</v>
      </c>
      <c r="AA15" t="s">
        <v>39</v>
      </c>
      <c r="AB15">
        <v>4</v>
      </c>
      <c r="AC15">
        <v>1</v>
      </c>
      <c r="AD15" t="s">
        <v>40</v>
      </c>
      <c r="AE15" t="s">
        <v>41</v>
      </c>
      <c r="AG15" t="s">
        <v>42</v>
      </c>
      <c r="AH15">
        <v>60.050394290668599</v>
      </c>
      <c r="AI15" t="s">
        <v>43</v>
      </c>
    </row>
    <row r="16" spans="1:35">
      <c r="A16" t="s">
        <v>44</v>
      </c>
      <c r="B16" t="s">
        <v>36</v>
      </c>
      <c r="C16" t="s">
        <v>46</v>
      </c>
      <c r="D16" t="s">
        <v>47</v>
      </c>
      <c r="E16">
        <f t="shared" si="0"/>
        <v>1</v>
      </c>
      <c r="F16">
        <v>14</v>
      </c>
      <c r="G16">
        <v>4</v>
      </c>
      <c r="H16">
        <v>1</v>
      </c>
      <c r="I16" t="s">
        <v>46</v>
      </c>
      <c r="J16">
        <v>1.0231792000004101</v>
      </c>
      <c r="K16" t="s">
        <v>39</v>
      </c>
      <c r="L16">
        <v>1</v>
      </c>
      <c r="M16">
        <v>4</v>
      </c>
      <c r="N16">
        <v>14</v>
      </c>
      <c r="O16">
        <v>9</v>
      </c>
      <c r="P16">
        <v>13.626749800000599</v>
      </c>
      <c r="R16">
        <v>13.612677</v>
      </c>
      <c r="S16">
        <v>13.626749800000599</v>
      </c>
      <c r="T16">
        <v>13.626749800000599</v>
      </c>
      <c r="U16">
        <v>13.626749800000599</v>
      </c>
      <c r="V16">
        <v>14.1268856000006</v>
      </c>
      <c r="W16">
        <v>14.626780600000499</v>
      </c>
      <c r="X16">
        <v>14.6609558</v>
      </c>
      <c r="Y16" t="s">
        <v>46</v>
      </c>
      <c r="Z16">
        <v>1.0231792000004101</v>
      </c>
      <c r="AA16" t="s">
        <v>39</v>
      </c>
      <c r="AB16">
        <v>4</v>
      </c>
      <c r="AC16">
        <v>1</v>
      </c>
      <c r="AD16" t="s">
        <v>40</v>
      </c>
      <c r="AE16" t="s">
        <v>41</v>
      </c>
      <c r="AG16" t="s">
        <v>42</v>
      </c>
      <c r="AH16">
        <v>60.050394290668599</v>
      </c>
      <c r="AI16" t="s">
        <v>43</v>
      </c>
    </row>
    <row r="17" spans="1:35">
      <c r="A17" t="s">
        <v>35</v>
      </c>
      <c r="B17" t="s">
        <v>45</v>
      </c>
      <c r="C17" t="s">
        <v>37</v>
      </c>
      <c r="D17" t="s">
        <v>47</v>
      </c>
      <c r="E17">
        <f t="shared" si="0"/>
        <v>1</v>
      </c>
      <c r="F17">
        <v>15</v>
      </c>
      <c r="G17">
        <v>5</v>
      </c>
      <c r="H17">
        <v>1</v>
      </c>
      <c r="I17" t="s">
        <v>37</v>
      </c>
      <c r="J17">
        <v>0.88963639999929001</v>
      </c>
      <c r="K17" t="s">
        <v>39</v>
      </c>
      <c r="L17">
        <v>1</v>
      </c>
      <c r="M17">
        <v>5</v>
      </c>
      <c r="N17">
        <v>15</v>
      </c>
      <c r="O17">
        <v>2</v>
      </c>
      <c r="P17">
        <v>14.6763270999999</v>
      </c>
      <c r="R17">
        <v>14.662209699999901</v>
      </c>
      <c r="S17">
        <v>14.6763270999999</v>
      </c>
      <c r="T17">
        <v>14.6763270999999</v>
      </c>
      <c r="U17">
        <v>14.6763270999999</v>
      </c>
      <c r="V17">
        <v>15.1764833000006</v>
      </c>
      <c r="X17">
        <v>15.576818000000401</v>
      </c>
      <c r="Y17" t="s">
        <v>37</v>
      </c>
      <c r="Z17">
        <v>0.88963639999929001</v>
      </c>
      <c r="AA17" t="s">
        <v>39</v>
      </c>
      <c r="AB17">
        <v>4</v>
      </c>
      <c r="AC17">
        <v>1</v>
      </c>
      <c r="AD17" t="s">
        <v>40</v>
      </c>
      <c r="AE17" t="s">
        <v>41</v>
      </c>
      <c r="AG17" t="s">
        <v>42</v>
      </c>
      <c r="AH17">
        <v>60.050394290668599</v>
      </c>
      <c r="AI17" t="s">
        <v>43</v>
      </c>
    </row>
    <row r="18" spans="1:35">
      <c r="A18" t="s">
        <v>35</v>
      </c>
      <c r="B18" t="s">
        <v>45</v>
      </c>
      <c r="C18" t="s">
        <v>37</v>
      </c>
      <c r="D18" t="s">
        <v>47</v>
      </c>
      <c r="E18">
        <f t="shared" si="0"/>
        <v>1</v>
      </c>
      <c r="F18">
        <v>16</v>
      </c>
      <c r="G18">
        <v>6</v>
      </c>
      <c r="H18">
        <v>1</v>
      </c>
      <c r="I18" t="s">
        <v>37</v>
      </c>
      <c r="J18">
        <v>0.77399669999977005</v>
      </c>
      <c r="K18" t="s">
        <v>39</v>
      </c>
      <c r="L18">
        <v>1</v>
      </c>
      <c r="M18">
        <v>6</v>
      </c>
      <c r="N18">
        <v>16</v>
      </c>
      <c r="O18">
        <v>6</v>
      </c>
      <c r="P18">
        <v>15.592827500000499</v>
      </c>
      <c r="R18">
        <v>15.578235900000401</v>
      </c>
      <c r="S18">
        <v>15.592827500000499</v>
      </c>
      <c r="T18">
        <v>15.592827500000499</v>
      </c>
      <c r="U18">
        <v>15.592827500000499</v>
      </c>
      <c r="V18">
        <v>16.092779500000599</v>
      </c>
      <c r="X18">
        <v>16.377060300000199</v>
      </c>
      <c r="Y18" t="s">
        <v>37</v>
      </c>
      <c r="Z18">
        <v>0.77399669999977005</v>
      </c>
      <c r="AA18" t="s">
        <v>39</v>
      </c>
      <c r="AB18">
        <v>4</v>
      </c>
      <c r="AC18">
        <v>1</v>
      </c>
      <c r="AD18" t="s">
        <v>40</v>
      </c>
      <c r="AE18" t="s">
        <v>41</v>
      </c>
      <c r="AG18" t="s">
        <v>42</v>
      </c>
      <c r="AH18">
        <v>60.050394290668599</v>
      </c>
      <c r="AI18" t="s">
        <v>43</v>
      </c>
    </row>
    <row r="19" spans="1:35">
      <c r="A19" t="s">
        <v>44</v>
      </c>
      <c r="B19" t="s">
        <v>36</v>
      </c>
      <c r="C19" t="s">
        <v>46</v>
      </c>
      <c r="D19" t="s">
        <v>47</v>
      </c>
      <c r="E19">
        <f t="shared" si="0"/>
        <v>1</v>
      </c>
      <c r="F19">
        <v>17</v>
      </c>
      <c r="G19">
        <v>7</v>
      </c>
      <c r="H19">
        <v>1</v>
      </c>
      <c r="I19" t="s">
        <v>46</v>
      </c>
      <c r="J19">
        <v>0.85021710000000805</v>
      </c>
      <c r="K19" t="s">
        <v>39</v>
      </c>
      <c r="L19">
        <v>1</v>
      </c>
      <c r="M19">
        <v>7</v>
      </c>
      <c r="N19">
        <v>17</v>
      </c>
      <c r="O19">
        <v>5</v>
      </c>
      <c r="P19">
        <v>16.392558700000301</v>
      </c>
      <c r="R19">
        <v>16.378275700000799</v>
      </c>
      <c r="S19">
        <v>16.392558700000301</v>
      </c>
      <c r="T19">
        <v>16.392558700000301</v>
      </c>
      <c r="U19">
        <v>16.392558700000301</v>
      </c>
      <c r="V19">
        <v>16.892713600000199</v>
      </c>
      <c r="X19">
        <v>17.259771700000702</v>
      </c>
      <c r="Y19" t="s">
        <v>46</v>
      </c>
      <c r="Z19">
        <v>0.85021710000000805</v>
      </c>
      <c r="AA19" t="s">
        <v>39</v>
      </c>
      <c r="AB19">
        <v>4</v>
      </c>
      <c r="AC19">
        <v>1</v>
      </c>
      <c r="AD19" t="s">
        <v>40</v>
      </c>
      <c r="AE19" t="s">
        <v>41</v>
      </c>
      <c r="AG19" t="s">
        <v>42</v>
      </c>
      <c r="AH19">
        <v>60.050394290668599</v>
      </c>
      <c r="AI19" t="s">
        <v>43</v>
      </c>
    </row>
    <row r="20" spans="1:35">
      <c r="A20" t="s">
        <v>44</v>
      </c>
      <c r="B20" t="s">
        <v>45</v>
      </c>
      <c r="C20" t="s">
        <v>46</v>
      </c>
      <c r="D20" t="s">
        <v>38</v>
      </c>
      <c r="E20">
        <f t="shared" si="0"/>
        <v>1</v>
      </c>
      <c r="F20">
        <v>18</v>
      </c>
      <c r="G20">
        <v>8</v>
      </c>
      <c r="H20">
        <v>1</v>
      </c>
      <c r="I20" t="s">
        <v>46</v>
      </c>
      <c r="J20">
        <v>0.95855619999929298</v>
      </c>
      <c r="K20" t="s">
        <v>39</v>
      </c>
      <c r="L20">
        <v>1</v>
      </c>
      <c r="M20">
        <v>8</v>
      </c>
      <c r="N20">
        <v>18</v>
      </c>
      <c r="O20">
        <v>0</v>
      </c>
      <c r="P20">
        <v>17.275629800000299</v>
      </c>
      <c r="R20">
        <v>17.261095300000299</v>
      </c>
      <c r="S20">
        <v>17.275629800000299</v>
      </c>
      <c r="T20">
        <v>17.275629800000299</v>
      </c>
      <c r="U20">
        <v>17.275629800000299</v>
      </c>
      <c r="V20">
        <v>17.775875799999898</v>
      </c>
      <c r="X20">
        <v>18.243175300000001</v>
      </c>
      <c r="Y20" t="s">
        <v>46</v>
      </c>
      <c r="Z20">
        <v>0.95855619999929298</v>
      </c>
      <c r="AA20" t="s">
        <v>39</v>
      </c>
      <c r="AB20">
        <v>4</v>
      </c>
      <c r="AC20">
        <v>1</v>
      </c>
      <c r="AD20" t="s">
        <v>40</v>
      </c>
      <c r="AE20" t="s">
        <v>41</v>
      </c>
      <c r="AG20" t="s">
        <v>42</v>
      </c>
      <c r="AH20">
        <v>60.050394290668599</v>
      </c>
      <c r="AI20" t="s">
        <v>43</v>
      </c>
    </row>
    <row r="21" spans="1:35">
      <c r="A21" t="s">
        <v>44</v>
      </c>
      <c r="B21" t="s">
        <v>45</v>
      </c>
      <c r="C21" t="s">
        <v>46</v>
      </c>
      <c r="D21" t="s">
        <v>38</v>
      </c>
      <c r="E21">
        <f t="shared" si="0"/>
        <v>1</v>
      </c>
      <c r="F21">
        <v>19</v>
      </c>
      <c r="G21">
        <v>9</v>
      </c>
      <c r="H21">
        <v>1</v>
      </c>
      <c r="I21" t="s">
        <v>46</v>
      </c>
      <c r="J21">
        <v>0.97827970000071196</v>
      </c>
      <c r="K21" t="s">
        <v>39</v>
      </c>
      <c r="L21">
        <v>1</v>
      </c>
      <c r="M21">
        <v>9</v>
      </c>
      <c r="N21">
        <v>19</v>
      </c>
      <c r="O21">
        <v>8</v>
      </c>
      <c r="P21">
        <v>18.258673500000398</v>
      </c>
      <c r="R21">
        <v>18.244416400000699</v>
      </c>
      <c r="S21">
        <v>18.258673500000398</v>
      </c>
      <c r="T21">
        <v>18.258673500000398</v>
      </c>
      <c r="U21">
        <v>18.258673500000398</v>
      </c>
      <c r="V21">
        <v>18.7588186000002</v>
      </c>
      <c r="W21">
        <v>19.2583425000002</v>
      </c>
      <c r="X21">
        <v>19.242731000000202</v>
      </c>
      <c r="Y21" t="s">
        <v>46</v>
      </c>
      <c r="Z21">
        <v>0.97827970000071196</v>
      </c>
      <c r="AA21" t="s">
        <v>39</v>
      </c>
      <c r="AB21">
        <v>4</v>
      </c>
      <c r="AC21">
        <v>1</v>
      </c>
      <c r="AD21" t="s">
        <v>40</v>
      </c>
      <c r="AE21" t="s">
        <v>41</v>
      </c>
      <c r="AG21" t="s">
        <v>42</v>
      </c>
      <c r="AH21">
        <v>60.050394290668599</v>
      </c>
      <c r="AI21" t="s">
        <v>43</v>
      </c>
    </row>
    <row r="22" spans="1:35">
      <c r="A22" t="s">
        <v>44</v>
      </c>
      <c r="B22" t="s">
        <v>45</v>
      </c>
      <c r="C22" t="s">
        <v>46</v>
      </c>
      <c r="D22" t="s">
        <v>38</v>
      </c>
      <c r="E22">
        <f t="shared" si="0"/>
        <v>1</v>
      </c>
      <c r="F22">
        <v>20</v>
      </c>
      <c r="G22">
        <v>0</v>
      </c>
      <c r="H22">
        <v>2</v>
      </c>
      <c r="I22" t="s">
        <v>46</v>
      </c>
      <c r="J22">
        <v>1.2826975999996599</v>
      </c>
      <c r="K22" t="s">
        <v>39</v>
      </c>
      <c r="L22">
        <v>2</v>
      </c>
      <c r="M22">
        <v>0</v>
      </c>
      <c r="N22">
        <v>20</v>
      </c>
      <c r="O22">
        <v>4</v>
      </c>
      <c r="P22">
        <v>19.2583425000002</v>
      </c>
      <c r="R22">
        <v>19.2440024000006</v>
      </c>
      <c r="S22">
        <v>19.2583425000002</v>
      </c>
      <c r="T22">
        <v>19.2583425000002</v>
      </c>
      <c r="U22">
        <v>19.2583425000002</v>
      </c>
      <c r="V22">
        <v>19.758417300000399</v>
      </c>
      <c r="W22">
        <v>20.2583234000003</v>
      </c>
      <c r="X22">
        <v>20.541907400000099</v>
      </c>
      <c r="Y22" t="s">
        <v>46</v>
      </c>
      <c r="Z22">
        <v>1.2826975999996599</v>
      </c>
      <c r="AA22" t="s">
        <v>39</v>
      </c>
      <c r="AB22">
        <v>4</v>
      </c>
      <c r="AC22">
        <v>1</v>
      </c>
      <c r="AD22" t="s">
        <v>40</v>
      </c>
      <c r="AE22" t="s">
        <v>41</v>
      </c>
      <c r="AG22" t="s">
        <v>42</v>
      </c>
      <c r="AH22">
        <v>60.050394290668599</v>
      </c>
      <c r="AI22" t="s">
        <v>43</v>
      </c>
    </row>
    <row r="23" spans="1:35">
      <c r="A23" t="s">
        <v>35</v>
      </c>
      <c r="B23" t="s">
        <v>36</v>
      </c>
      <c r="C23" t="s">
        <v>37</v>
      </c>
      <c r="D23" t="s">
        <v>38</v>
      </c>
      <c r="E23">
        <f t="shared" si="0"/>
        <v>1</v>
      </c>
      <c r="F23">
        <v>21</v>
      </c>
      <c r="G23">
        <v>1</v>
      </c>
      <c r="H23">
        <v>2</v>
      </c>
      <c r="I23" t="s">
        <v>37</v>
      </c>
      <c r="J23">
        <v>0.86749009999948601</v>
      </c>
      <c r="K23" t="s">
        <v>39</v>
      </c>
      <c r="L23">
        <v>2</v>
      </c>
      <c r="M23">
        <v>1</v>
      </c>
      <c r="N23">
        <v>21</v>
      </c>
      <c r="O23">
        <v>3</v>
      </c>
      <c r="P23">
        <v>20.5578953000003</v>
      </c>
      <c r="R23">
        <v>20.543413700000201</v>
      </c>
      <c r="S23">
        <v>20.5578953000003</v>
      </c>
      <c r="T23">
        <v>20.5578953000003</v>
      </c>
      <c r="U23">
        <v>20.5578953000003</v>
      </c>
      <c r="V23">
        <v>21.057758300000302</v>
      </c>
      <c r="X23">
        <v>21.441763300000201</v>
      </c>
      <c r="Y23" t="s">
        <v>37</v>
      </c>
      <c r="Z23">
        <v>0.86749009999948601</v>
      </c>
      <c r="AA23" t="s">
        <v>39</v>
      </c>
      <c r="AB23">
        <v>4</v>
      </c>
      <c r="AC23">
        <v>1</v>
      </c>
      <c r="AD23" t="s">
        <v>40</v>
      </c>
      <c r="AE23" t="s">
        <v>41</v>
      </c>
      <c r="AG23" t="s">
        <v>42</v>
      </c>
      <c r="AH23">
        <v>60.050394290668599</v>
      </c>
      <c r="AI23" t="s">
        <v>43</v>
      </c>
    </row>
    <row r="24" spans="1:35">
      <c r="A24" t="s">
        <v>44</v>
      </c>
      <c r="B24" t="s">
        <v>45</v>
      </c>
      <c r="C24" t="s">
        <v>46</v>
      </c>
      <c r="D24" t="s">
        <v>38</v>
      </c>
      <c r="E24">
        <f t="shared" si="0"/>
        <v>1</v>
      </c>
      <c r="F24">
        <v>22</v>
      </c>
      <c r="G24">
        <v>2</v>
      </c>
      <c r="H24">
        <v>2</v>
      </c>
      <c r="I24" t="s">
        <v>46</v>
      </c>
      <c r="J24">
        <v>0.91683639999973798</v>
      </c>
      <c r="K24" t="s">
        <v>39</v>
      </c>
      <c r="L24">
        <v>2</v>
      </c>
      <c r="M24">
        <v>2</v>
      </c>
      <c r="N24">
        <v>22</v>
      </c>
      <c r="O24">
        <v>8</v>
      </c>
      <c r="P24">
        <v>21.457928600000699</v>
      </c>
      <c r="R24">
        <v>21.4428617000003</v>
      </c>
      <c r="S24">
        <v>21.457928600000699</v>
      </c>
      <c r="T24">
        <v>21.457928600000699</v>
      </c>
      <c r="U24">
        <v>21.457928600000699</v>
      </c>
      <c r="V24">
        <v>21.957368600000301</v>
      </c>
      <c r="X24">
        <v>22.3914659000001</v>
      </c>
      <c r="Y24" t="s">
        <v>46</v>
      </c>
      <c r="Z24">
        <v>0.91683639999973798</v>
      </c>
      <c r="AA24" t="s">
        <v>39</v>
      </c>
      <c r="AB24">
        <v>4</v>
      </c>
      <c r="AC24">
        <v>1</v>
      </c>
      <c r="AD24" t="s">
        <v>40</v>
      </c>
      <c r="AE24" t="s">
        <v>41</v>
      </c>
      <c r="AG24" t="s">
        <v>42</v>
      </c>
      <c r="AH24">
        <v>60.050394290668599</v>
      </c>
      <c r="AI24" t="s">
        <v>43</v>
      </c>
    </row>
    <row r="25" spans="1:35">
      <c r="A25" t="s">
        <v>35</v>
      </c>
      <c r="B25" t="s">
        <v>36</v>
      </c>
      <c r="C25" t="s">
        <v>37</v>
      </c>
      <c r="D25" t="s">
        <v>38</v>
      </c>
      <c r="E25">
        <f t="shared" si="0"/>
        <v>1</v>
      </c>
      <c r="F25">
        <v>23</v>
      </c>
      <c r="G25">
        <v>3</v>
      </c>
      <c r="H25">
        <v>2</v>
      </c>
      <c r="I25" t="s">
        <v>37</v>
      </c>
      <c r="J25">
        <v>1.0262086000002399</v>
      </c>
      <c r="K25" t="s">
        <v>39</v>
      </c>
      <c r="L25">
        <v>2</v>
      </c>
      <c r="M25">
        <v>3</v>
      </c>
      <c r="N25">
        <v>23</v>
      </c>
      <c r="O25">
        <v>7</v>
      </c>
      <c r="P25">
        <v>22.407465600000201</v>
      </c>
      <c r="R25">
        <v>22.392548600000701</v>
      </c>
      <c r="S25">
        <v>22.407465600000201</v>
      </c>
      <c r="T25">
        <v>22.407465600000201</v>
      </c>
      <c r="U25">
        <v>22.407465600000201</v>
      </c>
      <c r="V25">
        <v>22.907491900000402</v>
      </c>
      <c r="W25">
        <v>23.406962200000599</v>
      </c>
      <c r="X25">
        <v>23.4411426000006</v>
      </c>
      <c r="Y25" t="s">
        <v>37</v>
      </c>
      <c r="Z25">
        <v>1.0262086000002399</v>
      </c>
      <c r="AA25" t="s">
        <v>39</v>
      </c>
      <c r="AB25">
        <v>4</v>
      </c>
      <c r="AC25">
        <v>1</v>
      </c>
      <c r="AD25" t="s">
        <v>40</v>
      </c>
      <c r="AE25" t="s">
        <v>41</v>
      </c>
      <c r="AG25" t="s">
        <v>42</v>
      </c>
      <c r="AH25">
        <v>60.050394290668599</v>
      </c>
      <c r="AI25" t="s">
        <v>43</v>
      </c>
    </row>
    <row r="26" spans="1:35">
      <c r="A26" t="s">
        <v>35</v>
      </c>
      <c r="B26" t="s">
        <v>45</v>
      </c>
      <c r="C26" t="s">
        <v>37</v>
      </c>
      <c r="D26" t="s">
        <v>47</v>
      </c>
      <c r="E26">
        <f t="shared" si="0"/>
        <v>1</v>
      </c>
      <c r="F26">
        <v>24</v>
      </c>
      <c r="G26">
        <v>4</v>
      </c>
      <c r="H26">
        <v>2</v>
      </c>
      <c r="I26" t="s">
        <v>37</v>
      </c>
      <c r="J26">
        <v>0.92264640000030296</v>
      </c>
      <c r="K26" t="s">
        <v>39</v>
      </c>
      <c r="L26">
        <v>2</v>
      </c>
      <c r="M26">
        <v>4</v>
      </c>
      <c r="N26">
        <v>24</v>
      </c>
      <c r="O26">
        <v>2</v>
      </c>
      <c r="P26">
        <v>23.456801000000201</v>
      </c>
      <c r="R26">
        <v>23.442306700000699</v>
      </c>
      <c r="S26">
        <v>23.456801000000201</v>
      </c>
      <c r="T26">
        <v>23.456801000000201</v>
      </c>
      <c r="U26">
        <v>23.456801000000201</v>
      </c>
      <c r="V26">
        <v>23.9571501</v>
      </c>
      <c r="X26">
        <v>24.390812100000399</v>
      </c>
      <c r="Y26" t="s">
        <v>37</v>
      </c>
      <c r="Z26">
        <v>0.92264640000030296</v>
      </c>
      <c r="AA26" t="s">
        <v>39</v>
      </c>
      <c r="AB26">
        <v>4</v>
      </c>
      <c r="AC26">
        <v>1</v>
      </c>
      <c r="AD26" t="s">
        <v>40</v>
      </c>
      <c r="AE26" t="s">
        <v>41</v>
      </c>
      <c r="AG26" t="s">
        <v>42</v>
      </c>
      <c r="AH26">
        <v>60.050394290668599</v>
      </c>
      <c r="AI26" t="s">
        <v>43</v>
      </c>
    </row>
    <row r="27" spans="1:35">
      <c r="A27" t="s">
        <v>44</v>
      </c>
      <c r="B27" t="s">
        <v>36</v>
      </c>
      <c r="C27" t="s">
        <v>46</v>
      </c>
      <c r="D27" t="s">
        <v>47</v>
      </c>
      <c r="E27">
        <f t="shared" si="0"/>
        <v>1</v>
      </c>
      <c r="F27">
        <v>25</v>
      </c>
      <c r="G27">
        <v>5</v>
      </c>
      <c r="H27">
        <v>2</v>
      </c>
      <c r="I27" t="s">
        <v>46</v>
      </c>
      <c r="J27">
        <v>0.874209700000392</v>
      </c>
      <c r="K27" t="s">
        <v>39</v>
      </c>
      <c r="L27">
        <v>2</v>
      </c>
      <c r="M27">
        <v>5</v>
      </c>
      <c r="N27">
        <v>25</v>
      </c>
      <c r="O27">
        <v>9</v>
      </c>
      <c r="P27">
        <v>24.406479200000799</v>
      </c>
      <c r="R27">
        <v>24.391996600000301</v>
      </c>
      <c r="S27">
        <v>24.406479200000799</v>
      </c>
      <c r="T27">
        <v>24.406479200000799</v>
      </c>
      <c r="U27">
        <v>24.406479200000799</v>
      </c>
      <c r="V27">
        <v>24.9067314000003</v>
      </c>
      <c r="X27">
        <v>25.290309700000702</v>
      </c>
      <c r="Y27" t="s">
        <v>46</v>
      </c>
      <c r="Z27">
        <v>0.874209700000392</v>
      </c>
      <c r="AA27" t="s">
        <v>39</v>
      </c>
      <c r="AB27">
        <v>4</v>
      </c>
      <c r="AC27">
        <v>1</v>
      </c>
      <c r="AD27" t="s">
        <v>40</v>
      </c>
      <c r="AE27" t="s">
        <v>41</v>
      </c>
      <c r="AG27" t="s">
        <v>42</v>
      </c>
      <c r="AH27">
        <v>60.050394290668599</v>
      </c>
      <c r="AI27" t="s">
        <v>43</v>
      </c>
    </row>
    <row r="28" spans="1:35">
      <c r="A28" t="s">
        <v>44</v>
      </c>
      <c r="B28" t="s">
        <v>36</v>
      </c>
      <c r="C28" t="s">
        <v>46</v>
      </c>
      <c r="D28" t="s">
        <v>47</v>
      </c>
      <c r="E28">
        <f t="shared" si="0"/>
        <v>1</v>
      </c>
      <c r="F28">
        <v>26</v>
      </c>
      <c r="G28">
        <v>6</v>
      </c>
      <c r="H28">
        <v>2</v>
      </c>
      <c r="I28" t="s">
        <v>46</v>
      </c>
      <c r="J28">
        <v>1.01274780000039</v>
      </c>
      <c r="K28" t="s">
        <v>39</v>
      </c>
      <c r="L28">
        <v>2</v>
      </c>
      <c r="M28">
        <v>6</v>
      </c>
      <c r="N28">
        <v>26</v>
      </c>
      <c r="O28">
        <v>5</v>
      </c>
      <c r="P28">
        <v>25.306167000000599</v>
      </c>
      <c r="R28">
        <v>25.291387000000199</v>
      </c>
      <c r="S28">
        <v>25.306167000000599</v>
      </c>
      <c r="T28">
        <v>25.306167000000599</v>
      </c>
      <c r="U28">
        <v>25.306167000000599</v>
      </c>
      <c r="V28">
        <v>25.806390900000199</v>
      </c>
      <c r="W28">
        <v>26.305885499999899</v>
      </c>
      <c r="X28">
        <v>26.323187700000702</v>
      </c>
      <c r="Y28" t="s">
        <v>46</v>
      </c>
      <c r="Z28">
        <v>1.01274780000039</v>
      </c>
      <c r="AA28" t="s">
        <v>39</v>
      </c>
      <c r="AB28">
        <v>4</v>
      </c>
      <c r="AC28">
        <v>1</v>
      </c>
      <c r="AD28" t="s">
        <v>40</v>
      </c>
      <c r="AE28" t="s">
        <v>41</v>
      </c>
      <c r="AG28" t="s">
        <v>42</v>
      </c>
      <c r="AH28">
        <v>60.050394290668599</v>
      </c>
      <c r="AI28" t="s">
        <v>43</v>
      </c>
    </row>
    <row r="29" spans="1:35">
      <c r="A29" t="s">
        <v>35</v>
      </c>
      <c r="B29" t="s">
        <v>45</v>
      </c>
      <c r="C29" t="s">
        <v>37</v>
      </c>
      <c r="D29" t="s">
        <v>47</v>
      </c>
      <c r="E29">
        <f t="shared" si="0"/>
        <v>1</v>
      </c>
      <c r="F29">
        <v>27</v>
      </c>
      <c r="G29">
        <v>7</v>
      </c>
      <c r="H29">
        <v>2</v>
      </c>
      <c r="I29" t="s">
        <v>37</v>
      </c>
      <c r="J29">
        <v>0.84439699999984397</v>
      </c>
      <c r="K29" t="s">
        <v>39</v>
      </c>
      <c r="L29">
        <v>2</v>
      </c>
      <c r="M29">
        <v>7</v>
      </c>
      <c r="N29">
        <v>27</v>
      </c>
      <c r="O29">
        <v>6</v>
      </c>
      <c r="P29">
        <v>26.339307500000299</v>
      </c>
      <c r="R29">
        <v>26.324593799999999</v>
      </c>
      <c r="S29">
        <v>26.339307500000299</v>
      </c>
      <c r="T29">
        <v>26.339307500000299</v>
      </c>
      <c r="U29">
        <v>26.339307500000299</v>
      </c>
      <c r="V29">
        <v>26.8392744000002</v>
      </c>
      <c r="X29">
        <v>27.190217799999999</v>
      </c>
      <c r="Y29" t="s">
        <v>37</v>
      </c>
      <c r="Z29">
        <v>0.84439699999984397</v>
      </c>
      <c r="AA29" t="s">
        <v>39</v>
      </c>
      <c r="AB29">
        <v>4</v>
      </c>
      <c r="AC29">
        <v>1</v>
      </c>
      <c r="AD29" t="s">
        <v>40</v>
      </c>
      <c r="AE29" t="s">
        <v>41</v>
      </c>
      <c r="AG29" t="s">
        <v>42</v>
      </c>
      <c r="AH29">
        <v>60.050394290668599</v>
      </c>
      <c r="AI29" t="s">
        <v>43</v>
      </c>
    </row>
    <row r="30" spans="1:35">
      <c r="A30" t="s">
        <v>44</v>
      </c>
      <c r="B30" t="s">
        <v>36</v>
      </c>
      <c r="C30" t="s">
        <v>46</v>
      </c>
      <c r="D30" t="s">
        <v>47</v>
      </c>
      <c r="E30">
        <f t="shared" si="0"/>
        <v>1</v>
      </c>
      <c r="F30">
        <v>28</v>
      </c>
      <c r="G30">
        <v>8</v>
      </c>
      <c r="H30">
        <v>2</v>
      </c>
      <c r="I30" t="s">
        <v>46</v>
      </c>
      <c r="J30">
        <v>0.88536530000055702</v>
      </c>
      <c r="K30" t="s">
        <v>39</v>
      </c>
      <c r="L30">
        <v>2</v>
      </c>
      <c r="M30">
        <v>8</v>
      </c>
      <c r="N30">
        <v>28</v>
      </c>
      <c r="O30">
        <v>1</v>
      </c>
      <c r="P30">
        <v>27.205600300000601</v>
      </c>
      <c r="R30">
        <v>27.191442400000501</v>
      </c>
      <c r="S30">
        <v>27.205600300000601</v>
      </c>
      <c r="T30">
        <v>27.205600300000601</v>
      </c>
      <c r="U30">
        <v>27.205600300000601</v>
      </c>
      <c r="V30">
        <v>27.705392100000601</v>
      </c>
      <c r="X30">
        <v>28.105882900000299</v>
      </c>
      <c r="Y30" t="s">
        <v>46</v>
      </c>
      <c r="Z30">
        <v>0.88536530000055702</v>
      </c>
      <c r="AA30" t="s">
        <v>39</v>
      </c>
      <c r="AB30">
        <v>4</v>
      </c>
      <c r="AC30">
        <v>1</v>
      </c>
      <c r="AD30" t="s">
        <v>40</v>
      </c>
      <c r="AE30" t="s">
        <v>41</v>
      </c>
      <c r="AG30" t="s">
        <v>42</v>
      </c>
      <c r="AH30">
        <v>60.050394290668599</v>
      </c>
      <c r="AI30" t="s">
        <v>43</v>
      </c>
    </row>
    <row r="31" spans="1:35">
      <c r="A31" t="s">
        <v>44</v>
      </c>
      <c r="B31" t="s">
        <v>45</v>
      </c>
      <c r="C31" t="s">
        <v>46</v>
      </c>
      <c r="D31" t="s">
        <v>38</v>
      </c>
      <c r="E31">
        <f t="shared" si="0"/>
        <v>1</v>
      </c>
      <c r="F31">
        <v>29</v>
      </c>
      <c r="G31">
        <v>9</v>
      </c>
      <c r="H31">
        <v>2</v>
      </c>
      <c r="I31" t="s">
        <v>46</v>
      </c>
      <c r="J31">
        <v>0.96971729999950096</v>
      </c>
      <c r="K31" t="s">
        <v>39</v>
      </c>
      <c r="L31">
        <v>2</v>
      </c>
      <c r="M31">
        <v>9</v>
      </c>
      <c r="N31">
        <v>29</v>
      </c>
      <c r="O31">
        <v>0</v>
      </c>
      <c r="P31">
        <v>28.121714100000599</v>
      </c>
      <c r="R31">
        <v>28.1069663000007</v>
      </c>
      <c r="S31">
        <v>28.121714100000599</v>
      </c>
      <c r="T31">
        <v>28.121714100000599</v>
      </c>
      <c r="U31">
        <v>28.121714100000599</v>
      </c>
      <c r="V31">
        <v>28.622018500000099</v>
      </c>
      <c r="W31">
        <v>29.121456800000399</v>
      </c>
      <c r="X31">
        <v>29.1058468999999</v>
      </c>
      <c r="Y31" t="s">
        <v>46</v>
      </c>
      <c r="Z31">
        <v>0.96971729999950096</v>
      </c>
      <c r="AA31" t="s">
        <v>39</v>
      </c>
      <c r="AB31">
        <v>4</v>
      </c>
      <c r="AC31">
        <v>1</v>
      </c>
      <c r="AD31" t="s">
        <v>40</v>
      </c>
      <c r="AE31" t="s">
        <v>41</v>
      </c>
      <c r="AG31" t="s">
        <v>42</v>
      </c>
      <c r="AH31">
        <v>60.050394290668599</v>
      </c>
      <c r="AI31" t="s">
        <v>43</v>
      </c>
    </row>
    <row r="32" spans="1:35">
      <c r="A32" t="s">
        <v>35</v>
      </c>
      <c r="B32" t="s">
        <v>45</v>
      </c>
      <c r="C32" t="s">
        <v>37</v>
      </c>
      <c r="D32" t="s">
        <v>47</v>
      </c>
      <c r="E32">
        <f t="shared" si="0"/>
        <v>1</v>
      </c>
      <c r="F32">
        <v>30</v>
      </c>
      <c r="G32">
        <v>0</v>
      </c>
      <c r="H32">
        <v>3</v>
      </c>
      <c r="I32" t="s">
        <v>37</v>
      </c>
      <c r="J32">
        <v>1.06764359999942</v>
      </c>
      <c r="K32" t="s">
        <v>39</v>
      </c>
      <c r="L32">
        <v>3</v>
      </c>
      <c r="M32">
        <v>0</v>
      </c>
      <c r="N32">
        <v>30</v>
      </c>
      <c r="O32">
        <v>2</v>
      </c>
      <c r="P32">
        <v>29.121456800000399</v>
      </c>
      <c r="R32">
        <v>29.107187700000299</v>
      </c>
      <c r="S32">
        <v>29.121456800000399</v>
      </c>
      <c r="T32">
        <v>29.121456800000399</v>
      </c>
      <c r="U32">
        <v>29.121456800000399</v>
      </c>
      <c r="V32">
        <v>29.621413700000598</v>
      </c>
      <c r="W32">
        <v>30.120986400000199</v>
      </c>
      <c r="X32">
        <v>30.205100000000101</v>
      </c>
      <c r="Y32" t="s">
        <v>37</v>
      </c>
      <c r="Z32">
        <v>1.06764359999942</v>
      </c>
      <c r="AA32" t="s">
        <v>39</v>
      </c>
      <c r="AB32">
        <v>4</v>
      </c>
      <c r="AC32">
        <v>1</v>
      </c>
      <c r="AD32" t="s">
        <v>40</v>
      </c>
      <c r="AE32" t="s">
        <v>41</v>
      </c>
      <c r="AG32" t="s">
        <v>42</v>
      </c>
      <c r="AH32">
        <v>60.050394290668599</v>
      </c>
      <c r="AI32" t="s">
        <v>43</v>
      </c>
    </row>
    <row r="33" spans="1:35">
      <c r="A33" t="s">
        <v>35</v>
      </c>
      <c r="B33" t="s">
        <v>36</v>
      </c>
      <c r="C33" t="s">
        <v>37</v>
      </c>
      <c r="D33" t="s">
        <v>38</v>
      </c>
      <c r="E33">
        <f t="shared" si="0"/>
        <v>1</v>
      </c>
      <c r="F33">
        <v>31</v>
      </c>
      <c r="G33">
        <v>1</v>
      </c>
      <c r="H33">
        <v>3</v>
      </c>
      <c r="I33" t="s">
        <v>37</v>
      </c>
      <c r="J33">
        <v>0.95860209999955204</v>
      </c>
      <c r="K33" t="s">
        <v>39</v>
      </c>
      <c r="L33">
        <v>3</v>
      </c>
      <c r="M33">
        <v>1</v>
      </c>
      <c r="N33">
        <v>31</v>
      </c>
      <c r="O33">
        <v>7</v>
      </c>
      <c r="P33">
        <v>30.221294300000402</v>
      </c>
      <c r="R33">
        <v>30.206065000000301</v>
      </c>
      <c r="S33">
        <v>30.221294300000402</v>
      </c>
      <c r="T33">
        <v>30.221294300000402</v>
      </c>
      <c r="U33">
        <v>30.221294300000402</v>
      </c>
      <c r="V33">
        <v>30.7209967000007</v>
      </c>
      <c r="X33">
        <v>31.188070100000001</v>
      </c>
      <c r="Y33" t="s">
        <v>37</v>
      </c>
      <c r="Z33">
        <v>0.95860209999955204</v>
      </c>
      <c r="AA33" t="s">
        <v>39</v>
      </c>
      <c r="AB33">
        <v>4</v>
      </c>
      <c r="AC33">
        <v>1</v>
      </c>
      <c r="AD33" t="s">
        <v>40</v>
      </c>
      <c r="AE33" t="s">
        <v>41</v>
      </c>
      <c r="AG33" t="s">
        <v>42</v>
      </c>
      <c r="AH33">
        <v>60.050394290668599</v>
      </c>
      <c r="AI33" t="s">
        <v>43</v>
      </c>
    </row>
    <row r="34" spans="1:35">
      <c r="A34" t="s">
        <v>44</v>
      </c>
      <c r="B34" t="s">
        <v>36</v>
      </c>
      <c r="C34" t="s">
        <v>46</v>
      </c>
      <c r="D34" t="s">
        <v>47</v>
      </c>
      <c r="E34">
        <f t="shared" si="0"/>
        <v>1</v>
      </c>
      <c r="F34">
        <v>32</v>
      </c>
      <c r="G34">
        <v>2</v>
      </c>
      <c r="H34">
        <v>3</v>
      </c>
      <c r="I34" t="s">
        <v>46</v>
      </c>
      <c r="J34">
        <v>0.93240049999985697</v>
      </c>
      <c r="K34" t="s">
        <v>39</v>
      </c>
      <c r="L34">
        <v>3</v>
      </c>
      <c r="M34">
        <v>2</v>
      </c>
      <c r="N34">
        <v>32</v>
      </c>
      <c r="O34">
        <v>9</v>
      </c>
      <c r="P34">
        <v>31.204236300000002</v>
      </c>
      <c r="R34">
        <v>31.1896283000005</v>
      </c>
      <c r="S34">
        <v>31.204236300000002</v>
      </c>
      <c r="T34">
        <v>31.204236300000002</v>
      </c>
      <c r="U34">
        <v>31.204236300000002</v>
      </c>
      <c r="V34">
        <v>31.704386300000799</v>
      </c>
      <c r="X34">
        <v>32.138209700000502</v>
      </c>
      <c r="Y34" t="s">
        <v>46</v>
      </c>
      <c r="Z34">
        <v>0.93240049999985697</v>
      </c>
      <c r="AA34" t="s">
        <v>39</v>
      </c>
      <c r="AB34">
        <v>4</v>
      </c>
      <c r="AC34">
        <v>1</v>
      </c>
      <c r="AD34" t="s">
        <v>40</v>
      </c>
      <c r="AE34" t="s">
        <v>41</v>
      </c>
      <c r="AG34" t="s">
        <v>42</v>
      </c>
      <c r="AH34">
        <v>60.050394290668599</v>
      </c>
      <c r="AI34" t="s">
        <v>43</v>
      </c>
    </row>
    <row r="35" spans="1:35">
      <c r="A35" t="s">
        <v>44</v>
      </c>
      <c r="B35" t="s">
        <v>45</v>
      </c>
      <c r="C35" t="s">
        <v>46</v>
      </c>
      <c r="D35" t="s">
        <v>38</v>
      </c>
      <c r="E35">
        <f t="shared" si="0"/>
        <v>1</v>
      </c>
      <c r="F35">
        <v>33</v>
      </c>
      <c r="G35">
        <v>3</v>
      </c>
      <c r="H35">
        <v>3</v>
      </c>
      <c r="I35" t="s">
        <v>46</v>
      </c>
      <c r="J35">
        <v>0.90204959999937195</v>
      </c>
      <c r="K35" t="s">
        <v>39</v>
      </c>
      <c r="L35">
        <v>3</v>
      </c>
      <c r="M35">
        <v>3</v>
      </c>
      <c r="N35">
        <v>33</v>
      </c>
      <c r="O35">
        <v>8</v>
      </c>
      <c r="P35">
        <v>32.153981899999899</v>
      </c>
      <c r="R35">
        <v>32.140034</v>
      </c>
      <c r="S35">
        <v>32.153981899999899</v>
      </c>
      <c r="T35">
        <v>32.153981899999899</v>
      </c>
      <c r="U35">
        <v>32.153981899999899</v>
      </c>
      <c r="V35">
        <v>32.653931300000202</v>
      </c>
      <c r="X35">
        <v>33.071056300000201</v>
      </c>
      <c r="Y35" t="s">
        <v>46</v>
      </c>
      <c r="Z35">
        <v>0.90204959999937195</v>
      </c>
      <c r="AA35" t="s">
        <v>39</v>
      </c>
      <c r="AB35">
        <v>4</v>
      </c>
      <c r="AC35">
        <v>1</v>
      </c>
      <c r="AD35" t="s">
        <v>40</v>
      </c>
      <c r="AE35" t="s">
        <v>41</v>
      </c>
      <c r="AG35" t="s">
        <v>42</v>
      </c>
      <c r="AH35">
        <v>60.050394290668599</v>
      </c>
      <c r="AI35" t="s">
        <v>43</v>
      </c>
    </row>
    <row r="36" spans="1:35">
      <c r="A36" t="s">
        <v>44</v>
      </c>
      <c r="B36" t="s">
        <v>36</v>
      </c>
      <c r="C36" t="s">
        <v>46</v>
      </c>
      <c r="D36" t="s">
        <v>47</v>
      </c>
      <c r="E36">
        <f t="shared" si="0"/>
        <v>1</v>
      </c>
      <c r="F36">
        <v>34</v>
      </c>
      <c r="G36">
        <v>4</v>
      </c>
      <c r="H36">
        <v>3</v>
      </c>
      <c r="I36" t="s">
        <v>46</v>
      </c>
      <c r="J36">
        <v>1.0215604999993899</v>
      </c>
      <c r="K36" t="s">
        <v>39</v>
      </c>
      <c r="L36">
        <v>3</v>
      </c>
      <c r="M36">
        <v>4</v>
      </c>
      <c r="N36">
        <v>34</v>
      </c>
      <c r="O36">
        <v>1</v>
      </c>
      <c r="P36">
        <v>33.0869621000001</v>
      </c>
      <c r="R36">
        <v>33.072497600000098</v>
      </c>
      <c r="S36">
        <v>33.0869621000001</v>
      </c>
      <c r="T36">
        <v>33.0869621000001</v>
      </c>
      <c r="U36">
        <v>33.0869621000001</v>
      </c>
      <c r="V36">
        <v>33.586927900000703</v>
      </c>
      <c r="W36">
        <v>34.086524900000697</v>
      </c>
      <c r="X36">
        <v>34.1204388000005</v>
      </c>
      <c r="Y36" t="s">
        <v>46</v>
      </c>
      <c r="Z36">
        <v>1.0215604999993899</v>
      </c>
      <c r="AA36" t="s">
        <v>39</v>
      </c>
      <c r="AB36">
        <v>4</v>
      </c>
      <c r="AC36">
        <v>1</v>
      </c>
      <c r="AD36" t="s">
        <v>40</v>
      </c>
      <c r="AE36" t="s">
        <v>41</v>
      </c>
      <c r="AG36" t="s">
        <v>42</v>
      </c>
      <c r="AH36">
        <v>60.050394290668599</v>
      </c>
      <c r="AI36" t="s">
        <v>43</v>
      </c>
    </row>
    <row r="37" spans="1:35">
      <c r="A37" t="s">
        <v>44</v>
      </c>
      <c r="B37" t="s">
        <v>36</v>
      </c>
      <c r="C37" t="s">
        <v>46</v>
      </c>
      <c r="D37" t="s">
        <v>47</v>
      </c>
      <c r="E37">
        <f t="shared" si="0"/>
        <v>1</v>
      </c>
      <c r="F37">
        <v>35</v>
      </c>
      <c r="G37">
        <v>5</v>
      </c>
      <c r="H37">
        <v>3</v>
      </c>
      <c r="I37" t="s">
        <v>46</v>
      </c>
      <c r="J37">
        <v>0.968757099999493</v>
      </c>
      <c r="K37" t="s">
        <v>39</v>
      </c>
      <c r="L37">
        <v>3</v>
      </c>
      <c r="M37">
        <v>5</v>
      </c>
      <c r="N37">
        <v>35</v>
      </c>
      <c r="O37">
        <v>5</v>
      </c>
      <c r="P37">
        <v>34.136548100000198</v>
      </c>
      <c r="R37">
        <v>34.122122700000503</v>
      </c>
      <c r="S37">
        <v>34.136548100000198</v>
      </c>
      <c r="T37">
        <v>34.136548100000198</v>
      </c>
      <c r="U37">
        <v>34.136548100000198</v>
      </c>
      <c r="V37">
        <v>34.636502400000602</v>
      </c>
      <c r="W37">
        <v>35.136214000000102</v>
      </c>
      <c r="X37">
        <v>35.120304200000596</v>
      </c>
      <c r="Y37" t="s">
        <v>46</v>
      </c>
      <c r="Z37">
        <v>0.968757099999493</v>
      </c>
      <c r="AA37" t="s">
        <v>39</v>
      </c>
      <c r="AB37">
        <v>4</v>
      </c>
      <c r="AC37">
        <v>1</v>
      </c>
      <c r="AD37" t="s">
        <v>40</v>
      </c>
      <c r="AE37" t="s">
        <v>41</v>
      </c>
      <c r="AG37" t="s">
        <v>42</v>
      </c>
      <c r="AH37">
        <v>60.050394290668599</v>
      </c>
      <c r="AI37" t="s">
        <v>43</v>
      </c>
    </row>
    <row r="38" spans="1:35">
      <c r="A38" t="s">
        <v>44</v>
      </c>
      <c r="B38" t="s">
        <v>45</v>
      </c>
      <c r="C38" t="s">
        <v>46</v>
      </c>
      <c r="D38" t="s">
        <v>38</v>
      </c>
      <c r="E38">
        <f t="shared" si="0"/>
        <v>1</v>
      </c>
      <c r="F38">
        <v>36</v>
      </c>
      <c r="G38">
        <v>6</v>
      </c>
      <c r="H38">
        <v>3</v>
      </c>
      <c r="I38" t="s">
        <v>46</v>
      </c>
      <c r="J38">
        <v>1.1490077999996999</v>
      </c>
      <c r="K38" t="s">
        <v>39</v>
      </c>
      <c r="L38">
        <v>3</v>
      </c>
      <c r="M38">
        <v>6</v>
      </c>
      <c r="N38">
        <v>36</v>
      </c>
      <c r="O38">
        <v>4</v>
      </c>
      <c r="P38">
        <v>35.136214000000102</v>
      </c>
      <c r="R38">
        <v>35.121627100000197</v>
      </c>
      <c r="S38">
        <v>35.136214000000102</v>
      </c>
      <c r="T38">
        <v>35.136214000000102</v>
      </c>
      <c r="U38">
        <v>35.136214000000102</v>
      </c>
      <c r="V38">
        <v>35.6359566000001</v>
      </c>
      <c r="W38">
        <v>36.1361167000004</v>
      </c>
      <c r="X38">
        <v>36.286767900000001</v>
      </c>
      <c r="Y38" t="s">
        <v>46</v>
      </c>
      <c r="Z38">
        <v>1.1490077999996999</v>
      </c>
      <c r="AA38" t="s">
        <v>39</v>
      </c>
      <c r="AB38">
        <v>4</v>
      </c>
      <c r="AC38">
        <v>1</v>
      </c>
      <c r="AD38" t="s">
        <v>40</v>
      </c>
      <c r="AE38" t="s">
        <v>41</v>
      </c>
      <c r="AG38" t="s">
        <v>42</v>
      </c>
      <c r="AH38">
        <v>60.050394290668599</v>
      </c>
      <c r="AI38" t="s">
        <v>43</v>
      </c>
    </row>
    <row r="39" spans="1:35">
      <c r="A39" t="s">
        <v>35</v>
      </c>
      <c r="B39" t="s">
        <v>36</v>
      </c>
      <c r="C39" t="s">
        <v>37</v>
      </c>
      <c r="D39" t="s">
        <v>38</v>
      </c>
      <c r="E39">
        <f t="shared" si="0"/>
        <v>1</v>
      </c>
      <c r="F39">
        <v>37</v>
      </c>
      <c r="G39">
        <v>7</v>
      </c>
      <c r="H39">
        <v>3</v>
      </c>
      <c r="I39" t="s">
        <v>37</v>
      </c>
      <c r="J39">
        <v>0.83372950000011703</v>
      </c>
      <c r="K39" t="s">
        <v>39</v>
      </c>
      <c r="L39">
        <v>3</v>
      </c>
      <c r="M39">
        <v>7</v>
      </c>
      <c r="N39">
        <v>37</v>
      </c>
      <c r="O39">
        <v>3</v>
      </c>
      <c r="P39">
        <v>36.302437900000697</v>
      </c>
      <c r="R39">
        <v>36.287951000000199</v>
      </c>
      <c r="S39">
        <v>36.302437900000697</v>
      </c>
      <c r="T39">
        <v>36.302437900000697</v>
      </c>
      <c r="U39">
        <v>36.302437900000697</v>
      </c>
      <c r="V39">
        <v>36.8023400000001</v>
      </c>
      <c r="X39">
        <v>37.1377638000003</v>
      </c>
      <c r="Y39" t="s">
        <v>37</v>
      </c>
      <c r="Z39">
        <v>0.83372950000011703</v>
      </c>
      <c r="AA39" t="s">
        <v>39</v>
      </c>
      <c r="AB39">
        <v>4</v>
      </c>
      <c r="AC39">
        <v>1</v>
      </c>
      <c r="AD39" t="s">
        <v>40</v>
      </c>
      <c r="AE39" t="s">
        <v>41</v>
      </c>
      <c r="AG39" t="s">
        <v>42</v>
      </c>
      <c r="AH39">
        <v>60.050394290668599</v>
      </c>
      <c r="AI39" t="s">
        <v>43</v>
      </c>
    </row>
    <row r="40" spans="1:35">
      <c r="A40" t="s">
        <v>35</v>
      </c>
      <c r="B40" t="s">
        <v>45</v>
      </c>
      <c r="C40" t="s">
        <v>37</v>
      </c>
      <c r="D40" t="s">
        <v>47</v>
      </c>
      <c r="E40">
        <f t="shared" si="0"/>
        <v>1</v>
      </c>
      <c r="F40">
        <v>38</v>
      </c>
      <c r="G40">
        <v>8</v>
      </c>
      <c r="H40">
        <v>3</v>
      </c>
      <c r="I40" t="s">
        <v>37</v>
      </c>
      <c r="J40">
        <v>0.88529669999934402</v>
      </c>
      <c r="K40" t="s">
        <v>39</v>
      </c>
      <c r="L40">
        <v>3</v>
      </c>
      <c r="M40">
        <v>8</v>
      </c>
      <c r="N40">
        <v>38</v>
      </c>
      <c r="O40">
        <v>6</v>
      </c>
      <c r="P40">
        <v>37.152170300000698</v>
      </c>
      <c r="R40">
        <v>37.1389354000002</v>
      </c>
      <c r="S40">
        <v>37.152170300000698</v>
      </c>
      <c r="T40">
        <v>37.152170300000698</v>
      </c>
      <c r="U40">
        <v>37.152170300000698</v>
      </c>
      <c r="V40">
        <v>37.652389900000301</v>
      </c>
      <c r="X40">
        <v>38.052380099999901</v>
      </c>
      <c r="Y40" t="s">
        <v>37</v>
      </c>
      <c r="Z40">
        <v>0.88529669999934402</v>
      </c>
      <c r="AA40" t="s">
        <v>39</v>
      </c>
      <c r="AB40">
        <v>4</v>
      </c>
      <c r="AC40">
        <v>1</v>
      </c>
      <c r="AD40" t="s">
        <v>40</v>
      </c>
      <c r="AE40" t="s">
        <v>41</v>
      </c>
      <c r="AG40" t="s">
        <v>42</v>
      </c>
      <c r="AH40">
        <v>60.050394290668599</v>
      </c>
      <c r="AI40" t="s">
        <v>43</v>
      </c>
    </row>
    <row r="41" spans="1:35">
      <c r="A41" t="s">
        <v>44</v>
      </c>
      <c r="B41" t="s">
        <v>45</v>
      </c>
      <c r="C41" t="s">
        <v>46</v>
      </c>
      <c r="D41" t="s">
        <v>38</v>
      </c>
      <c r="E41">
        <f t="shared" si="0"/>
        <v>1</v>
      </c>
      <c r="F41">
        <v>39</v>
      </c>
      <c r="G41">
        <v>9</v>
      </c>
      <c r="H41">
        <v>3</v>
      </c>
      <c r="I41" t="s">
        <v>46</v>
      </c>
      <c r="J41">
        <v>1.2720807000005101</v>
      </c>
      <c r="K41" t="s">
        <v>39</v>
      </c>
      <c r="L41">
        <v>3</v>
      </c>
      <c r="M41">
        <v>9</v>
      </c>
      <c r="N41">
        <v>39</v>
      </c>
      <c r="O41">
        <v>0</v>
      </c>
      <c r="P41">
        <v>38.068467900000499</v>
      </c>
      <c r="R41">
        <v>38.053325400000098</v>
      </c>
      <c r="S41">
        <v>38.068467900000499</v>
      </c>
      <c r="T41">
        <v>38.068467900000499</v>
      </c>
      <c r="U41">
        <v>38.068467900000499</v>
      </c>
      <c r="V41">
        <v>38.568700400000097</v>
      </c>
      <c r="W41">
        <v>39.068209000000003</v>
      </c>
      <c r="X41">
        <v>39.352401900000501</v>
      </c>
      <c r="Y41" t="s">
        <v>46</v>
      </c>
      <c r="Z41">
        <v>1.2720807000005101</v>
      </c>
      <c r="AA41" t="s">
        <v>39</v>
      </c>
      <c r="AB41">
        <v>4</v>
      </c>
      <c r="AC41">
        <v>1</v>
      </c>
      <c r="AD41" t="s">
        <v>40</v>
      </c>
      <c r="AE41" t="s">
        <v>41</v>
      </c>
      <c r="AG41" t="s">
        <v>42</v>
      </c>
      <c r="AH41">
        <v>60.050394290668599</v>
      </c>
      <c r="AI41" t="s">
        <v>43</v>
      </c>
    </row>
    <row r="42" spans="1:35">
      <c r="A42" t="s">
        <v>44</v>
      </c>
      <c r="B42" t="s">
        <v>36</v>
      </c>
      <c r="C42" t="s">
        <v>46</v>
      </c>
      <c r="D42" t="s">
        <v>47</v>
      </c>
      <c r="E42">
        <f t="shared" si="0"/>
        <v>1</v>
      </c>
      <c r="F42">
        <v>40</v>
      </c>
      <c r="G42">
        <v>0</v>
      </c>
      <c r="H42">
        <v>4</v>
      </c>
      <c r="I42" t="s">
        <v>46</v>
      </c>
      <c r="J42">
        <v>1.19777189999967</v>
      </c>
      <c r="K42" t="s">
        <v>39</v>
      </c>
      <c r="L42">
        <v>4</v>
      </c>
      <c r="M42">
        <v>0</v>
      </c>
      <c r="N42">
        <v>40</v>
      </c>
      <c r="O42">
        <v>1</v>
      </c>
      <c r="P42">
        <v>39.368078100000197</v>
      </c>
      <c r="R42">
        <v>39.353608800000003</v>
      </c>
      <c r="S42">
        <v>39.368078100000197</v>
      </c>
      <c r="T42">
        <v>39.368078100000197</v>
      </c>
      <c r="U42">
        <v>39.368078100000197</v>
      </c>
      <c r="V42">
        <v>39.868257900000501</v>
      </c>
      <c r="W42">
        <v>40.367812100000201</v>
      </c>
      <c r="X42">
        <v>40.568321400000002</v>
      </c>
      <c r="Y42" t="s">
        <v>46</v>
      </c>
      <c r="Z42">
        <v>1.19777189999967</v>
      </c>
      <c r="AA42" t="s">
        <v>39</v>
      </c>
      <c r="AB42">
        <v>4</v>
      </c>
      <c r="AC42">
        <v>1</v>
      </c>
      <c r="AD42" t="s">
        <v>40</v>
      </c>
      <c r="AE42" t="s">
        <v>41</v>
      </c>
      <c r="AG42" t="s">
        <v>42</v>
      </c>
      <c r="AH42">
        <v>60.050394290668599</v>
      </c>
      <c r="AI42" t="s">
        <v>43</v>
      </c>
    </row>
    <row r="43" spans="1:35">
      <c r="A43" t="s">
        <v>35</v>
      </c>
      <c r="B43" t="s">
        <v>36</v>
      </c>
      <c r="C43" t="s">
        <v>37</v>
      </c>
      <c r="D43" t="s">
        <v>38</v>
      </c>
      <c r="E43">
        <f t="shared" si="0"/>
        <v>1</v>
      </c>
      <c r="F43">
        <v>41</v>
      </c>
      <c r="G43">
        <v>1</v>
      </c>
      <c r="H43">
        <v>4</v>
      </c>
      <c r="I43" t="s">
        <v>37</v>
      </c>
      <c r="J43">
        <v>0.994756099999904</v>
      </c>
      <c r="K43" t="s">
        <v>39</v>
      </c>
      <c r="L43">
        <v>4</v>
      </c>
      <c r="M43">
        <v>1</v>
      </c>
      <c r="N43">
        <v>41</v>
      </c>
      <c r="O43">
        <v>7</v>
      </c>
      <c r="P43">
        <v>40.584309300000299</v>
      </c>
      <c r="R43">
        <v>40.569502100000101</v>
      </c>
      <c r="S43">
        <v>40.584309300000299</v>
      </c>
      <c r="T43">
        <v>40.584309300000299</v>
      </c>
      <c r="U43">
        <v>40.584309300000299</v>
      </c>
      <c r="V43">
        <v>41.084731200000498</v>
      </c>
      <c r="W43">
        <v>41.584259000000202</v>
      </c>
      <c r="X43">
        <v>41.585119300000699</v>
      </c>
      <c r="Y43" t="s">
        <v>37</v>
      </c>
      <c r="Z43">
        <v>0.994756099999904</v>
      </c>
      <c r="AA43" t="s">
        <v>39</v>
      </c>
      <c r="AB43">
        <v>4</v>
      </c>
      <c r="AC43">
        <v>1</v>
      </c>
      <c r="AD43" t="s">
        <v>40</v>
      </c>
      <c r="AE43" t="s">
        <v>41</v>
      </c>
      <c r="AG43" t="s">
        <v>42</v>
      </c>
      <c r="AH43">
        <v>60.050394290668599</v>
      </c>
      <c r="AI43" t="s">
        <v>43</v>
      </c>
    </row>
    <row r="44" spans="1:35">
      <c r="A44" t="s">
        <v>35</v>
      </c>
      <c r="B44" t="s">
        <v>36</v>
      </c>
      <c r="C44" t="s">
        <v>37</v>
      </c>
      <c r="D44" t="s">
        <v>38</v>
      </c>
      <c r="E44">
        <f t="shared" si="0"/>
        <v>1</v>
      </c>
      <c r="F44">
        <v>42</v>
      </c>
      <c r="G44">
        <v>2</v>
      </c>
      <c r="H44">
        <v>4</v>
      </c>
      <c r="I44" t="s">
        <v>37</v>
      </c>
      <c r="J44">
        <v>1.92074719999982</v>
      </c>
      <c r="K44" t="s">
        <v>39</v>
      </c>
      <c r="L44">
        <v>4</v>
      </c>
      <c r="M44">
        <v>2</v>
      </c>
      <c r="N44">
        <v>42</v>
      </c>
      <c r="O44">
        <v>3</v>
      </c>
      <c r="P44">
        <v>41.600653000000399</v>
      </c>
      <c r="R44">
        <v>41.586426300000298</v>
      </c>
      <c r="S44">
        <v>41.600653000000399</v>
      </c>
      <c r="T44">
        <v>41.600653000000399</v>
      </c>
      <c r="U44">
        <v>41.600653000000399</v>
      </c>
      <c r="V44">
        <v>42.1008688000001</v>
      </c>
      <c r="W44">
        <v>42.6006809</v>
      </c>
      <c r="X44">
        <v>43.534218600000699</v>
      </c>
      <c r="Y44" t="s">
        <v>37</v>
      </c>
      <c r="Z44">
        <v>1.92074719999982</v>
      </c>
      <c r="AA44" t="s">
        <v>39</v>
      </c>
      <c r="AB44">
        <v>4</v>
      </c>
      <c r="AC44">
        <v>1</v>
      </c>
      <c r="AD44" t="s">
        <v>40</v>
      </c>
      <c r="AE44" t="s">
        <v>41</v>
      </c>
      <c r="AG44" t="s">
        <v>42</v>
      </c>
      <c r="AH44">
        <v>60.050394290668599</v>
      </c>
      <c r="AI44" t="s">
        <v>43</v>
      </c>
    </row>
    <row r="45" spans="1:35">
      <c r="A45" t="s">
        <v>35</v>
      </c>
      <c r="B45" t="s">
        <v>45</v>
      </c>
      <c r="C45" t="s">
        <v>37</v>
      </c>
      <c r="D45" t="s">
        <v>47</v>
      </c>
      <c r="E45">
        <f t="shared" si="0"/>
        <v>1</v>
      </c>
      <c r="F45">
        <v>43</v>
      </c>
      <c r="G45">
        <v>3</v>
      </c>
      <c r="H45">
        <v>4</v>
      </c>
      <c r="I45" t="s">
        <v>37</v>
      </c>
      <c r="J45">
        <v>0.93529190000026496</v>
      </c>
      <c r="K45" t="s">
        <v>39</v>
      </c>
      <c r="L45">
        <v>4</v>
      </c>
      <c r="M45">
        <v>3</v>
      </c>
      <c r="N45">
        <v>43</v>
      </c>
      <c r="O45">
        <v>6</v>
      </c>
      <c r="P45">
        <v>43.5500432000008</v>
      </c>
      <c r="R45">
        <v>43.535768200000298</v>
      </c>
      <c r="S45">
        <v>43.5500432000008</v>
      </c>
      <c r="T45">
        <v>43.5500432000008</v>
      </c>
      <c r="U45">
        <v>43.5500432000008</v>
      </c>
      <c r="V45">
        <v>44.0501871000005</v>
      </c>
      <c r="X45">
        <v>44.500505700000701</v>
      </c>
      <c r="Y45" t="s">
        <v>37</v>
      </c>
      <c r="Z45">
        <v>0.93529190000026496</v>
      </c>
      <c r="AA45" t="s">
        <v>39</v>
      </c>
      <c r="AB45">
        <v>4</v>
      </c>
      <c r="AC45">
        <v>1</v>
      </c>
      <c r="AD45" t="s">
        <v>40</v>
      </c>
      <c r="AE45" t="s">
        <v>41</v>
      </c>
      <c r="AG45" t="s">
        <v>42</v>
      </c>
      <c r="AH45">
        <v>60.050394290668599</v>
      </c>
      <c r="AI45" t="s">
        <v>43</v>
      </c>
    </row>
    <row r="46" spans="1:35">
      <c r="A46" t="s">
        <v>35</v>
      </c>
      <c r="B46" t="s">
        <v>45</v>
      </c>
      <c r="C46" t="s">
        <v>37</v>
      </c>
      <c r="D46" t="s">
        <v>47</v>
      </c>
      <c r="E46">
        <f t="shared" si="0"/>
        <v>1</v>
      </c>
      <c r="F46">
        <v>44</v>
      </c>
      <c r="G46">
        <v>4</v>
      </c>
      <c r="H46">
        <v>4</v>
      </c>
      <c r="I46" t="s">
        <v>37</v>
      </c>
      <c r="J46">
        <v>1.15625569999974</v>
      </c>
      <c r="K46" t="s">
        <v>39</v>
      </c>
      <c r="L46">
        <v>4</v>
      </c>
      <c r="M46">
        <v>4</v>
      </c>
      <c r="N46">
        <v>44</v>
      </c>
      <c r="O46">
        <v>2</v>
      </c>
      <c r="P46">
        <v>44.5163480000001</v>
      </c>
      <c r="R46">
        <v>44.501768500000203</v>
      </c>
      <c r="S46">
        <v>44.5163480000001</v>
      </c>
      <c r="T46">
        <v>44.5163480000001</v>
      </c>
      <c r="U46">
        <v>44.5163480000001</v>
      </c>
      <c r="V46">
        <v>45.0164839000008</v>
      </c>
      <c r="W46">
        <v>45.516257300000603</v>
      </c>
      <c r="X46">
        <v>45.683852900000602</v>
      </c>
      <c r="Y46" t="s">
        <v>37</v>
      </c>
      <c r="Z46">
        <v>1.15625569999974</v>
      </c>
      <c r="AA46" t="s">
        <v>39</v>
      </c>
      <c r="AB46">
        <v>4</v>
      </c>
      <c r="AC46">
        <v>1</v>
      </c>
      <c r="AD46" t="s">
        <v>40</v>
      </c>
      <c r="AE46" t="s">
        <v>41</v>
      </c>
      <c r="AG46" t="s">
        <v>42</v>
      </c>
      <c r="AH46">
        <v>60.050394290668599</v>
      </c>
      <c r="AI46" t="s">
        <v>43</v>
      </c>
    </row>
    <row r="47" spans="1:35">
      <c r="A47" t="s">
        <v>44</v>
      </c>
      <c r="B47" t="s">
        <v>45</v>
      </c>
      <c r="C47" t="s">
        <v>46</v>
      </c>
      <c r="D47" t="s">
        <v>38</v>
      </c>
      <c r="E47">
        <f t="shared" si="0"/>
        <v>1</v>
      </c>
      <c r="F47">
        <v>45</v>
      </c>
      <c r="G47">
        <v>5</v>
      </c>
      <c r="H47">
        <v>4</v>
      </c>
      <c r="I47" t="s">
        <v>46</v>
      </c>
      <c r="J47">
        <v>0.92906740000034904</v>
      </c>
      <c r="K47" t="s">
        <v>39</v>
      </c>
      <c r="L47">
        <v>4</v>
      </c>
      <c r="M47">
        <v>5</v>
      </c>
      <c r="N47">
        <v>45</v>
      </c>
      <c r="O47">
        <v>0</v>
      </c>
      <c r="P47">
        <v>45.699275700000697</v>
      </c>
      <c r="R47">
        <v>45.685057900000103</v>
      </c>
      <c r="S47">
        <v>45.699275700000697</v>
      </c>
      <c r="T47">
        <v>45.699275700000697</v>
      </c>
      <c r="U47">
        <v>45.699275700000697</v>
      </c>
      <c r="V47">
        <v>46.199499700000104</v>
      </c>
      <c r="X47">
        <v>46.633517699999999</v>
      </c>
      <c r="Y47" t="s">
        <v>46</v>
      </c>
      <c r="Z47">
        <v>0.92906740000034904</v>
      </c>
      <c r="AA47" t="s">
        <v>39</v>
      </c>
      <c r="AB47">
        <v>4</v>
      </c>
      <c r="AC47">
        <v>1</v>
      </c>
      <c r="AD47" t="s">
        <v>40</v>
      </c>
      <c r="AE47" t="s">
        <v>41</v>
      </c>
      <c r="AG47" t="s">
        <v>42</v>
      </c>
      <c r="AH47">
        <v>60.050394290668599</v>
      </c>
      <c r="AI47" t="s">
        <v>43</v>
      </c>
    </row>
    <row r="48" spans="1:35">
      <c r="A48" t="s">
        <v>44</v>
      </c>
      <c r="B48" t="s">
        <v>45</v>
      </c>
      <c r="C48" t="s">
        <v>46</v>
      </c>
      <c r="D48" t="s">
        <v>38</v>
      </c>
      <c r="E48">
        <f t="shared" si="0"/>
        <v>1</v>
      </c>
      <c r="F48">
        <v>46</v>
      </c>
      <c r="G48">
        <v>6</v>
      </c>
      <c r="H48">
        <v>4</v>
      </c>
      <c r="I48" t="s">
        <v>46</v>
      </c>
      <c r="J48">
        <v>1.84632770000007</v>
      </c>
      <c r="K48" t="s">
        <v>39</v>
      </c>
      <c r="L48">
        <v>4</v>
      </c>
      <c r="M48">
        <v>6</v>
      </c>
      <c r="N48">
        <v>46</v>
      </c>
      <c r="O48">
        <v>8</v>
      </c>
      <c r="P48">
        <v>46.648912999999901</v>
      </c>
      <c r="R48">
        <v>46.634837800000199</v>
      </c>
      <c r="S48">
        <v>46.648912999999901</v>
      </c>
      <c r="T48">
        <v>46.648912999999901</v>
      </c>
      <c r="U48">
        <v>46.648912999999901</v>
      </c>
      <c r="V48">
        <v>47.1487247000004</v>
      </c>
      <c r="W48">
        <v>47.649008400000596</v>
      </c>
      <c r="X48">
        <v>48.499291500000197</v>
      </c>
      <c r="Y48" t="s">
        <v>46</v>
      </c>
      <c r="Z48">
        <v>1.84632770000007</v>
      </c>
      <c r="AA48" t="s">
        <v>39</v>
      </c>
      <c r="AB48">
        <v>4</v>
      </c>
      <c r="AC48">
        <v>1</v>
      </c>
      <c r="AD48" t="s">
        <v>40</v>
      </c>
      <c r="AE48" t="s">
        <v>41</v>
      </c>
      <c r="AG48" t="s">
        <v>42</v>
      </c>
      <c r="AH48">
        <v>60.050394290668599</v>
      </c>
      <c r="AI48" t="s">
        <v>43</v>
      </c>
    </row>
    <row r="49" spans="1:35">
      <c r="A49" t="s">
        <v>44</v>
      </c>
      <c r="B49" t="s">
        <v>45</v>
      </c>
      <c r="C49" t="s">
        <v>46</v>
      </c>
      <c r="D49" t="s">
        <v>38</v>
      </c>
      <c r="E49">
        <f t="shared" si="0"/>
        <v>1</v>
      </c>
      <c r="F49">
        <v>47</v>
      </c>
      <c r="G49">
        <v>7</v>
      </c>
      <c r="H49">
        <v>4</v>
      </c>
      <c r="I49" t="s">
        <v>46</v>
      </c>
      <c r="J49">
        <v>0.94925049999983402</v>
      </c>
      <c r="K49" t="s">
        <v>39</v>
      </c>
      <c r="L49">
        <v>4</v>
      </c>
      <c r="M49">
        <v>7</v>
      </c>
      <c r="N49">
        <v>47</v>
      </c>
      <c r="O49">
        <v>4</v>
      </c>
      <c r="P49">
        <v>48.514945200000497</v>
      </c>
      <c r="R49">
        <v>48.500470700000697</v>
      </c>
      <c r="S49">
        <v>48.514945200000497</v>
      </c>
      <c r="T49">
        <v>48.514945200000497</v>
      </c>
      <c r="U49">
        <v>48.514945200000497</v>
      </c>
      <c r="V49">
        <v>49.015143299999998</v>
      </c>
      <c r="X49">
        <v>49.465637700000102</v>
      </c>
      <c r="Y49" t="s">
        <v>46</v>
      </c>
      <c r="Z49">
        <v>0.94925049999983402</v>
      </c>
      <c r="AA49" t="s">
        <v>39</v>
      </c>
      <c r="AB49">
        <v>4</v>
      </c>
      <c r="AC49">
        <v>1</v>
      </c>
      <c r="AD49" t="s">
        <v>40</v>
      </c>
      <c r="AE49" t="s">
        <v>41</v>
      </c>
      <c r="AG49" t="s">
        <v>42</v>
      </c>
      <c r="AH49">
        <v>60.050394290668599</v>
      </c>
      <c r="AI49" t="s">
        <v>43</v>
      </c>
    </row>
    <row r="50" spans="1:35">
      <c r="A50" t="s">
        <v>44</v>
      </c>
      <c r="B50" t="s">
        <v>36</v>
      </c>
      <c r="C50" t="s">
        <v>46</v>
      </c>
      <c r="D50" t="s">
        <v>47</v>
      </c>
      <c r="E50">
        <f t="shared" si="0"/>
        <v>1</v>
      </c>
      <c r="F50">
        <v>48</v>
      </c>
      <c r="G50">
        <v>8</v>
      </c>
      <c r="H50">
        <v>4</v>
      </c>
      <c r="I50" t="s">
        <v>46</v>
      </c>
      <c r="J50">
        <v>0.88629739999942103</v>
      </c>
      <c r="K50" t="s">
        <v>39</v>
      </c>
      <c r="L50">
        <v>4</v>
      </c>
      <c r="M50">
        <v>8</v>
      </c>
      <c r="N50">
        <v>48</v>
      </c>
      <c r="O50">
        <v>5</v>
      </c>
      <c r="P50">
        <v>49.481300899999901</v>
      </c>
      <c r="R50">
        <v>49.466736600000303</v>
      </c>
      <c r="S50">
        <v>49.481300899999901</v>
      </c>
      <c r="T50">
        <v>49.481300899999901</v>
      </c>
      <c r="U50">
        <v>49.481300899999901</v>
      </c>
      <c r="V50">
        <v>49.9815547000007</v>
      </c>
      <c r="X50">
        <v>50.382036200000499</v>
      </c>
      <c r="Y50" t="s">
        <v>46</v>
      </c>
      <c r="Z50">
        <v>0.88629739999942103</v>
      </c>
      <c r="AA50" t="s">
        <v>39</v>
      </c>
      <c r="AB50">
        <v>4</v>
      </c>
      <c r="AC50">
        <v>1</v>
      </c>
      <c r="AD50" t="s">
        <v>40</v>
      </c>
      <c r="AE50" t="s">
        <v>41</v>
      </c>
      <c r="AG50" t="s">
        <v>42</v>
      </c>
      <c r="AH50">
        <v>60.050394290668599</v>
      </c>
      <c r="AI50" t="s">
        <v>43</v>
      </c>
    </row>
    <row r="51" spans="1:35">
      <c r="A51" t="s">
        <v>44</v>
      </c>
      <c r="B51" t="s">
        <v>36</v>
      </c>
      <c r="C51" t="s">
        <v>46</v>
      </c>
      <c r="D51" t="s">
        <v>47</v>
      </c>
      <c r="E51">
        <f t="shared" si="0"/>
        <v>1</v>
      </c>
      <c r="F51">
        <v>49</v>
      </c>
      <c r="G51">
        <v>9</v>
      </c>
      <c r="H51">
        <v>4</v>
      </c>
      <c r="I51" t="s">
        <v>46</v>
      </c>
      <c r="J51">
        <v>1.19214219999958</v>
      </c>
      <c r="K51" t="s">
        <v>39</v>
      </c>
      <c r="L51">
        <v>4</v>
      </c>
      <c r="M51">
        <v>9</v>
      </c>
      <c r="N51">
        <v>49</v>
      </c>
      <c r="O51">
        <v>9</v>
      </c>
      <c r="P51">
        <v>50.397751200000101</v>
      </c>
      <c r="R51">
        <v>50.383227799999901</v>
      </c>
      <c r="S51">
        <v>50.397751200000101</v>
      </c>
      <c r="T51">
        <v>50.397751200000101</v>
      </c>
      <c r="U51">
        <v>50.397751200000101</v>
      </c>
      <c r="V51">
        <v>50.8979604000005</v>
      </c>
      <c r="W51">
        <v>51.397746399999903</v>
      </c>
      <c r="X51">
        <v>51.5982594000006</v>
      </c>
      <c r="Y51" t="s">
        <v>46</v>
      </c>
      <c r="Z51">
        <v>1.19214219999958</v>
      </c>
      <c r="AA51" t="s">
        <v>39</v>
      </c>
      <c r="AB51">
        <v>4</v>
      </c>
      <c r="AC51">
        <v>1</v>
      </c>
      <c r="AD51" t="s">
        <v>40</v>
      </c>
      <c r="AE51" t="s">
        <v>41</v>
      </c>
      <c r="AG51" t="s">
        <v>42</v>
      </c>
      <c r="AH51">
        <v>60.050394290668599</v>
      </c>
      <c r="AI51" t="s">
        <v>43</v>
      </c>
    </row>
    <row r="52" spans="1:35">
      <c r="A52" t="s">
        <v>44</v>
      </c>
      <c r="B52" t="s">
        <v>36</v>
      </c>
      <c r="C52" t="s">
        <v>46</v>
      </c>
      <c r="D52" t="s">
        <v>47</v>
      </c>
      <c r="E52">
        <f t="shared" si="0"/>
        <v>1</v>
      </c>
      <c r="F52">
        <v>50</v>
      </c>
      <c r="G52">
        <v>0</v>
      </c>
      <c r="H52">
        <v>5</v>
      </c>
      <c r="I52" t="s">
        <v>46</v>
      </c>
      <c r="J52">
        <v>0.93182979999983195</v>
      </c>
      <c r="K52" t="s">
        <v>39</v>
      </c>
      <c r="L52">
        <v>5</v>
      </c>
      <c r="M52">
        <v>0</v>
      </c>
      <c r="N52">
        <v>50</v>
      </c>
      <c r="O52">
        <v>5</v>
      </c>
      <c r="P52">
        <v>51.613917200000202</v>
      </c>
      <c r="R52">
        <v>51.6000425000002</v>
      </c>
      <c r="S52">
        <v>51.613917200000202</v>
      </c>
      <c r="T52">
        <v>51.613917200000202</v>
      </c>
      <c r="U52">
        <v>51.613917200000202</v>
      </c>
      <c r="V52">
        <v>52.114036400000202</v>
      </c>
      <c r="X52">
        <v>52.548644200000098</v>
      </c>
      <c r="Y52" t="s">
        <v>46</v>
      </c>
      <c r="Z52">
        <v>0.93182979999983195</v>
      </c>
      <c r="AA52" t="s">
        <v>39</v>
      </c>
      <c r="AB52">
        <v>4</v>
      </c>
      <c r="AC52">
        <v>1</v>
      </c>
      <c r="AD52" t="s">
        <v>40</v>
      </c>
      <c r="AE52" t="s">
        <v>41</v>
      </c>
      <c r="AG52" t="s">
        <v>42</v>
      </c>
      <c r="AH52">
        <v>60.050394290668599</v>
      </c>
      <c r="AI52" t="s">
        <v>43</v>
      </c>
    </row>
    <row r="53" spans="1:35">
      <c r="A53" t="s">
        <v>44</v>
      </c>
      <c r="B53" t="s">
        <v>45</v>
      </c>
      <c r="C53" t="s">
        <v>46</v>
      </c>
      <c r="D53" t="s">
        <v>38</v>
      </c>
      <c r="E53">
        <f t="shared" si="0"/>
        <v>1</v>
      </c>
      <c r="F53">
        <v>51</v>
      </c>
      <c r="G53">
        <v>1</v>
      </c>
      <c r="H53">
        <v>5</v>
      </c>
      <c r="I53" t="s">
        <v>46</v>
      </c>
      <c r="J53">
        <v>0.88668200000029096</v>
      </c>
      <c r="K53" t="s">
        <v>39</v>
      </c>
      <c r="L53">
        <v>5</v>
      </c>
      <c r="M53">
        <v>1</v>
      </c>
      <c r="N53">
        <v>51</v>
      </c>
      <c r="O53">
        <v>4</v>
      </c>
      <c r="P53">
        <v>52.5636257000005</v>
      </c>
      <c r="R53">
        <v>52.550393500000602</v>
      </c>
      <c r="S53">
        <v>52.5636257000005</v>
      </c>
      <c r="T53">
        <v>52.5636257000005</v>
      </c>
      <c r="U53">
        <v>52.5636257000005</v>
      </c>
      <c r="V53">
        <v>53.063733500000097</v>
      </c>
      <c r="X53">
        <v>53.464428000000197</v>
      </c>
      <c r="Y53" t="s">
        <v>46</v>
      </c>
      <c r="Z53">
        <v>0.88668200000029096</v>
      </c>
      <c r="AA53" t="s">
        <v>39</v>
      </c>
      <c r="AB53">
        <v>4</v>
      </c>
      <c r="AC53">
        <v>1</v>
      </c>
      <c r="AD53" t="s">
        <v>40</v>
      </c>
      <c r="AE53" t="s">
        <v>41</v>
      </c>
      <c r="AG53" t="s">
        <v>42</v>
      </c>
      <c r="AH53">
        <v>60.050394290668599</v>
      </c>
      <c r="AI53" t="s">
        <v>43</v>
      </c>
    </row>
    <row r="54" spans="1:35">
      <c r="A54" t="s">
        <v>44</v>
      </c>
      <c r="B54" t="s">
        <v>45</v>
      </c>
      <c r="C54" t="s">
        <v>46</v>
      </c>
      <c r="D54" t="s">
        <v>38</v>
      </c>
      <c r="E54">
        <f t="shared" si="0"/>
        <v>1</v>
      </c>
      <c r="F54">
        <v>52</v>
      </c>
      <c r="G54">
        <v>2</v>
      </c>
      <c r="H54">
        <v>5</v>
      </c>
      <c r="I54" t="s">
        <v>46</v>
      </c>
      <c r="J54">
        <v>1.12113690000023</v>
      </c>
      <c r="K54" t="s">
        <v>39</v>
      </c>
      <c r="L54">
        <v>5</v>
      </c>
      <c r="M54">
        <v>2</v>
      </c>
      <c r="N54">
        <v>52</v>
      </c>
      <c r="O54">
        <v>8</v>
      </c>
      <c r="P54">
        <v>53.479953600000002</v>
      </c>
      <c r="R54">
        <v>53.465773100000597</v>
      </c>
      <c r="S54">
        <v>53.479953600000002</v>
      </c>
      <c r="T54">
        <v>53.479953600000002</v>
      </c>
      <c r="U54">
        <v>53.479953600000002</v>
      </c>
      <c r="V54">
        <v>53.979922299999998</v>
      </c>
      <c r="W54">
        <v>54.479712500000403</v>
      </c>
      <c r="X54">
        <v>54.613366300000003</v>
      </c>
      <c r="Y54" t="s">
        <v>46</v>
      </c>
      <c r="Z54">
        <v>1.12113690000023</v>
      </c>
      <c r="AA54" t="s">
        <v>39</v>
      </c>
      <c r="AB54">
        <v>4</v>
      </c>
      <c r="AC54">
        <v>1</v>
      </c>
      <c r="AD54" t="s">
        <v>40</v>
      </c>
      <c r="AE54" t="s">
        <v>41</v>
      </c>
      <c r="AG54" t="s">
        <v>42</v>
      </c>
      <c r="AH54">
        <v>60.050394290668599</v>
      </c>
      <c r="AI54" t="s">
        <v>43</v>
      </c>
    </row>
    <row r="55" spans="1:35">
      <c r="A55" t="s">
        <v>35</v>
      </c>
      <c r="B55" t="s">
        <v>36</v>
      </c>
      <c r="C55" t="s">
        <v>37</v>
      </c>
      <c r="D55" t="s">
        <v>38</v>
      </c>
      <c r="E55">
        <f t="shared" si="0"/>
        <v>1</v>
      </c>
      <c r="F55">
        <v>53</v>
      </c>
      <c r="G55">
        <v>3</v>
      </c>
      <c r="H55">
        <v>5</v>
      </c>
      <c r="I55" t="s">
        <v>37</v>
      </c>
      <c r="J55">
        <v>0.82481100000040897</v>
      </c>
      <c r="K55" t="s">
        <v>39</v>
      </c>
      <c r="L55">
        <v>5</v>
      </c>
      <c r="M55">
        <v>3</v>
      </c>
      <c r="N55">
        <v>53</v>
      </c>
      <c r="O55">
        <v>7</v>
      </c>
      <c r="P55">
        <v>54.629636800000299</v>
      </c>
      <c r="R55">
        <v>54.614566600000202</v>
      </c>
      <c r="S55">
        <v>54.629636800000299</v>
      </c>
      <c r="T55">
        <v>54.629636800000299</v>
      </c>
      <c r="U55">
        <v>54.629636800000299</v>
      </c>
      <c r="V55">
        <v>55.1294901999999</v>
      </c>
      <c r="X55">
        <v>55.463486399999901</v>
      </c>
      <c r="Y55" t="s">
        <v>37</v>
      </c>
      <c r="Z55">
        <v>0.82481100000040897</v>
      </c>
      <c r="AA55" t="s">
        <v>39</v>
      </c>
      <c r="AB55">
        <v>4</v>
      </c>
      <c r="AC55">
        <v>1</v>
      </c>
      <c r="AD55" t="s">
        <v>40</v>
      </c>
      <c r="AE55" t="s">
        <v>41</v>
      </c>
      <c r="AG55" t="s">
        <v>42</v>
      </c>
      <c r="AH55">
        <v>60.050394290668599</v>
      </c>
      <c r="AI55" t="s">
        <v>43</v>
      </c>
    </row>
    <row r="56" spans="1:35">
      <c r="A56" t="s">
        <v>35</v>
      </c>
      <c r="B56" t="s">
        <v>45</v>
      </c>
      <c r="C56" t="s">
        <v>37</v>
      </c>
      <c r="D56" t="s">
        <v>47</v>
      </c>
      <c r="E56">
        <f t="shared" si="0"/>
        <v>1</v>
      </c>
      <c r="F56">
        <v>54</v>
      </c>
      <c r="G56">
        <v>4</v>
      </c>
      <c r="H56">
        <v>5</v>
      </c>
      <c r="I56" t="s">
        <v>37</v>
      </c>
      <c r="J56">
        <v>0.89240470000004202</v>
      </c>
      <c r="K56" t="s">
        <v>39</v>
      </c>
      <c r="L56">
        <v>5</v>
      </c>
      <c r="M56">
        <v>4</v>
      </c>
      <c r="N56">
        <v>54</v>
      </c>
      <c r="O56">
        <v>6</v>
      </c>
      <c r="P56">
        <v>55.4793894000004</v>
      </c>
      <c r="R56">
        <v>55.464559000000001</v>
      </c>
      <c r="S56">
        <v>55.4793894000004</v>
      </c>
      <c r="T56">
        <v>55.4793894000004</v>
      </c>
      <c r="U56">
        <v>55.4793894000004</v>
      </c>
      <c r="V56">
        <v>55.979280700000302</v>
      </c>
      <c r="X56">
        <v>56.3801756000002</v>
      </c>
      <c r="Y56" t="s">
        <v>37</v>
      </c>
      <c r="Z56">
        <v>0.89240470000004202</v>
      </c>
      <c r="AA56" t="s">
        <v>39</v>
      </c>
      <c r="AB56">
        <v>4</v>
      </c>
      <c r="AC56">
        <v>1</v>
      </c>
      <c r="AD56" t="s">
        <v>40</v>
      </c>
      <c r="AE56" t="s">
        <v>41</v>
      </c>
      <c r="AG56" t="s">
        <v>42</v>
      </c>
      <c r="AH56">
        <v>60.050394290668599</v>
      </c>
      <c r="AI56" t="s">
        <v>43</v>
      </c>
    </row>
    <row r="57" spans="1:35">
      <c r="A57" t="s">
        <v>44</v>
      </c>
      <c r="B57" t="s">
        <v>45</v>
      </c>
      <c r="C57" t="s">
        <v>46</v>
      </c>
      <c r="D57" t="s">
        <v>38</v>
      </c>
      <c r="E57">
        <f t="shared" si="0"/>
        <v>1</v>
      </c>
      <c r="F57">
        <v>55</v>
      </c>
      <c r="G57">
        <v>5</v>
      </c>
      <c r="H57">
        <v>5</v>
      </c>
      <c r="I57" t="s">
        <v>46</v>
      </c>
      <c r="J57">
        <v>1.3024923999992</v>
      </c>
      <c r="K57" t="s">
        <v>39</v>
      </c>
      <c r="L57">
        <v>5</v>
      </c>
      <c r="M57">
        <v>5</v>
      </c>
      <c r="N57">
        <v>55</v>
      </c>
      <c r="O57">
        <v>0</v>
      </c>
      <c r="P57">
        <v>56.395715100000402</v>
      </c>
      <c r="R57">
        <v>56.381322500000302</v>
      </c>
      <c r="S57">
        <v>56.395715100000402</v>
      </c>
      <c r="T57">
        <v>56.395715100000402</v>
      </c>
      <c r="U57">
        <v>56.395715100000402</v>
      </c>
      <c r="V57">
        <v>56.895805200000702</v>
      </c>
      <c r="W57">
        <v>57.395297400000302</v>
      </c>
      <c r="X57">
        <v>57.712778900000501</v>
      </c>
      <c r="Y57" t="s">
        <v>46</v>
      </c>
      <c r="Z57">
        <v>1.3024923999992</v>
      </c>
      <c r="AA57" t="s">
        <v>39</v>
      </c>
      <c r="AB57">
        <v>4</v>
      </c>
      <c r="AC57">
        <v>1</v>
      </c>
      <c r="AD57" t="s">
        <v>40</v>
      </c>
      <c r="AE57" t="s">
        <v>41</v>
      </c>
      <c r="AG57" t="s">
        <v>42</v>
      </c>
      <c r="AH57">
        <v>60.050394290668599</v>
      </c>
      <c r="AI57" t="s">
        <v>43</v>
      </c>
    </row>
    <row r="58" spans="1:35">
      <c r="A58" t="s">
        <v>35</v>
      </c>
      <c r="B58" t="s">
        <v>45</v>
      </c>
      <c r="C58" t="s">
        <v>37</v>
      </c>
      <c r="D58" t="s">
        <v>47</v>
      </c>
      <c r="E58">
        <f t="shared" si="0"/>
        <v>1</v>
      </c>
      <c r="F58">
        <v>56</v>
      </c>
      <c r="G58">
        <v>6</v>
      </c>
      <c r="H58">
        <v>5</v>
      </c>
      <c r="I58" t="s">
        <v>37</v>
      </c>
      <c r="J58">
        <v>0.78062420000060195</v>
      </c>
      <c r="K58" t="s">
        <v>39</v>
      </c>
      <c r="L58">
        <v>5</v>
      </c>
      <c r="M58">
        <v>6</v>
      </c>
      <c r="N58">
        <v>56</v>
      </c>
      <c r="O58">
        <v>2</v>
      </c>
      <c r="P58">
        <v>57.728524900000501</v>
      </c>
      <c r="R58">
        <v>57.714036100000101</v>
      </c>
      <c r="S58">
        <v>57.728524900000501</v>
      </c>
      <c r="T58">
        <v>57.728524900000501</v>
      </c>
      <c r="U58">
        <v>57.728524900000501</v>
      </c>
      <c r="V58">
        <v>58.228688400000401</v>
      </c>
      <c r="X58">
        <v>58.511960800000402</v>
      </c>
      <c r="Y58" t="s">
        <v>37</v>
      </c>
      <c r="Z58">
        <v>0.78062420000060195</v>
      </c>
      <c r="AA58" t="s">
        <v>39</v>
      </c>
      <c r="AB58">
        <v>4</v>
      </c>
      <c r="AC58">
        <v>1</v>
      </c>
      <c r="AD58" t="s">
        <v>40</v>
      </c>
      <c r="AE58" t="s">
        <v>41</v>
      </c>
      <c r="AG58" t="s">
        <v>42</v>
      </c>
      <c r="AH58">
        <v>60.050394290668599</v>
      </c>
      <c r="AI58" t="s">
        <v>43</v>
      </c>
    </row>
    <row r="59" spans="1:35">
      <c r="A59" t="s">
        <v>35</v>
      </c>
      <c r="B59" t="s">
        <v>36</v>
      </c>
      <c r="C59" t="s">
        <v>37</v>
      </c>
      <c r="D59" t="s">
        <v>38</v>
      </c>
      <c r="E59">
        <f t="shared" si="0"/>
        <v>1</v>
      </c>
      <c r="F59">
        <v>57</v>
      </c>
      <c r="G59">
        <v>7</v>
      </c>
      <c r="H59">
        <v>5</v>
      </c>
      <c r="I59" t="s">
        <v>37</v>
      </c>
      <c r="J59">
        <v>0.97528740000052405</v>
      </c>
      <c r="K59" t="s">
        <v>39</v>
      </c>
      <c r="L59">
        <v>5</v>
      </c>
      <c r="M59">
        <v>7</v>
      </c>
      <c r="N59">
        <v>57</v>
      </c>
      <c r="O59">
        <v>3</v>
      </c>
      <c r="P59">
        <v>58.528272200000103</v>
      </c>
      <c r="R59">
        <v>58.5125441</v>
      </c>
      <c r="S59">
        <v>58.528272200000103</v>
      </c>
      <c r="T59">
        <v>58.528272200000103</v>
      </c>
      <c r="U59">
        <v>58.528272200000103</v>
      </c>
      <c r="V59">
        <v>59.028214700000703</v>
      </c>
      <c r="W59">
        <v>59.5280896000003</v>
      </c>
      <c r="X59">
        <v>59.512389000000397</v>
      </c>
      <c r="Y59" t="s">
        <v>37</v>
      </c>
      <c r="Z59">
        <v>0.97528740000052405</v>
      </c>
      <c r="AA59" t="s">
        <v>39</v>
      </c>
      <c r="AB59">
        <v>4</v>
      </c>
      <c r="AC59">
        <v>1</v>
      </c>
      <c r="AD59" t="s">
        <v>40</v>
      </c>
      <c r="AE59" t="s">
        <v>41</v>
      </c>
      <c r="AG59" t="s">
        <v>42</v>
      </c>
      <c r="AH59">
        <v>60.050394290668599</v>
      </c>
      <c r="AI59" t="s">
        <v>43</v>
      </c>
    </row>
    <row r="60" spans="1:35">
      <c r="A60" t="s">
        <v>44</v>
      </c>
      <c r="B60" t="s">
        <v>36</v>
      </c>
      <c r="C60" t="s">
        <v>46</v>
      </c>
      <c r="D60" t="s">
        <v>47</v>
      </c>
      <c r="E60">
        <f t="shared" si="0"/>
        <v>1</v>
      </c>
      <c r="F60">
        <v>58</v>
      </c>
      <c r="G60">
        <v>8</v>
      </c>
      <c r="H60">
        <v>5</v>
      </c>
      <c r="I60" t="s">
        <v>46</v>
      </c>
      <c r="J60">
        <v>0.81929010000021596</v>
      </c>
      <c r="K60" t="s">
        <v>39</v>
      </c>
      <c r="L60">
        <v>5</v>
      </c>
      <c r="M60">
        <v>8</v>
      </c>
      <c r="N60">
        <v>58</v>
      </c>
      <c r="O60">
        <v>1</v>
      </c>
      <c r="P60">
        <v>59.5280896000003</v>
      </c>
      <c r="R60">
        <v>59.513880600000398</v>
      </c>
      <c r="S60">
        <v>59.5280896000003</v>
      </c>
      <c r="T60">
        <v>59.5280896000003</v>
      </c>
      <c r="U60">
        <v>59.5280896000003</v>
      </c>
      <c r="V60">
        <v>60.028000600000198</v>
      </c>
      <c r="X60">
        <v>60.361883500000602</v>
      </c>
      <c r="Y60" t="s">
        <v>46</v>
      </c>
      <c r="Z60">
        <v>0.81929010000021596</v>
      </c>
      <c r="AA60" t="s">
        <v>39</v>
      </c>
      <c r="AB60">
        <v>4</v>
      </c>
      <c r="AC60">
        <v>1</v>
      </c>
      <c r="AD60" t="s">
        <v>40</v>
      </c>
      <c r="AE60" t="s">
        <v>41</v>
      </c>
      <c r="AG60" t="s">
        <v>42</v>
      </c>
      <c r="AH60">
        <v>60.050394290668599</v>
      </c>
      <c r="AI60" t="s">
        <v>43</v>
      </c>
    </row>
    <row r="61" spans="1:35">
      <c r="A61" t="s">
        <v>44</v>
      </c>
      <c r="B61" t="s">
        <v>36</v>
      </c>
      <c r="C61" t="s">
        <v>46</v>
      </c>
      <c r="D61" t="s">
        <v>47</v>
      </c>
      <c r="E61">
        <f t="shared" si="0"/>
        <v>1</v>
      </c>
      <c r="F61">
        <v>59</v>
      </c>
      <c r="G61">
        <v>9</v>
      </c>
      <c r="H61">
        <v>5</v>
      </c>
      <c r="I61" t="s">
        <v>46</v>
      </c>
      <c r="J61">
        <v>0.93247260000043697</v>
      </c>
      <c r="K61" t="s">
        <v>39</v>
      </c>
      <c r="L61">
        <v>5</v>
      </c>
      <c r="M61">
        <v>9</v>
      </c>
      <c r="N61">
        <v>59</v>
      </c>
      <c r="O61">
        <v>9</v>
      </c>
      <c r="P61">
        <v>60.377730700000001</v>
      </c>
      <c r="R61">
        <v>60.363236800000699</v>
      </c>
      <c r="S61">
        <v>60.377730700000001</v>
      </c>
      <c r="T61">
        <v>60.377730700000001</v>
      </c>
      <c r="U61">
        <v>60.377730700000001</v>
      </c>
      <c r="V61">
        <v>60.877685200000002</v>
      </c>
      <c r="X61">
        <v>61.311696500000799</v>
      </c>
      <c r="Y61" t="s">
        <v>46</v>
      </c>
      <c r="Z61">
        <v>0.93247260000043697</v>
      </c>
      <c r="AA61" t="s">
        <v>39</v>
      </c>
      <c r="AB61">
        <v>4</v>
      </c>
      <c r="AC61">
        <v>1</v>
      </c>
      <c r="AD61" t="s">
        <v>40</v>
      </c>
      <c r="AE61" t="s">
        <v>41</v>
      </c>
      <c r="AG61" t="s">
        <v>42</v>
      </c>
      <c r="AH61">
        <v>60.050394290668599</v>
      </c>
      <c r="AI61" t="s">
        <v>43</v>
      </c>
    </row>
    <row r="62" spans="1:35">
      <c r="A62" t="s">
        <v>35</v>
      </c>
      <c r="B62" t="s">
        <v>45</v>
      </c>
      <c r="C62" t="s">
        <v>37</v>
      </c>
      <c r="D62" t="s">
        <v>47</v>
      </c>
      <c r="E62">
        <f t="shared" si="0"/>
        <v>1</v>
      </c>
      <c r="F62">
        <v>60</v>
      </c>
      <c r="G62">
        <v>0</v>
      </c>
      <c r="H62">
        <v>6</v>
      </c>
      <c r="I62" t="s">
        <v>37</v>
      </c>
      <c r="J62">
        <v>0.89734839999982796</v>
      </c>
      <c r="K62" t="s">
        <v>39</v>
      </c>
      <c r="L62">
        <v>6</v>
      </c>
      <c r="M62">
        <v>0</v>
      </c>
      <c r="N62">
        <v>60</v>
      </c>
      <c r="O62">
        <v>2</v>
      </c>
      <c r="P62">
        <v>61.327413100000697</v>
      </c>
      <c r="R62">
        <v>61.312893000000201</v>
      </c>
      <c r="S62">
        <v>61.327413100000697</v>
      </c>
      <c r="T62">
        <v>61.327413100000697</v>
      </c>
      <c r="U62">
        <v>61.327413100000697</v>
      </c>
      <c r="V62">
        <v>61.827288800000098</v>
      </c>
      <c r="X62">
        <v>62.227956900000201</v>
      </c>
      <c r="Y62" t="s">
        <v>37</v>
      </c>
      <c r="Z62">
        <v>0.89734839999982796</v>
      </c>
      <c r="AA62" t="s">
        <v>39</v>
      </c>
      <c r="AB62">
        <v>4</v>
      </c>
      <c r="AC62">
        <v>1</v>
      </c>
      <c r="AD62" t="s">
        <v>40</v>
      </c>
      <c r="AE62" t="s">
        <v>41</v>
      </c>
      <c r="AG62" t="s">
        <v>42</v>
      </c>
      <c r="AH62">
        <v>60.050394290668599</v>
      </c>
      <c r="AI62" t="s">
        <v>43</v>
      </c>
    </row>
    <row r="63" spans="1:35">
      <c r="A63" t="s">
        <v>35</v>
      </c>
      <c r="B63" t="s">
        <v>36</v>
      </c>
      <c r="C63" t="s">
        <v>37</v>
      </c>
      <c r="D63" t="s">
        <v>38</v>
      </c>
      <c r="E63">
        <f t="shared" si="0"/>
        <v>1</v>
      </c>
      <c r="F63">
        <v>61</v>
      </c>
      <c r="G63">
        <v>1</v>
      </c>
      <c r="H63">
        <v>6</v>
      </c>
      <c r="I63" t="s">
        <v>37</v>
      </c>
      <c r="J63">
        <v>0.90165809999962199</v>
      </c>
      <c r="K63" t="s">
        <v>39</v>
      </c>
      <c r="L63">
        <v>6</v>
      </c>
      <c r="M63">
        <v>1</v>
      </c>
      <c r="N63">
        <v>61</v>
      </c>
      <c r="O63">
        <v>7</v>
      </c>
      <c r="P63">
        <v>62.2437413000006</v>
      </c>
      <c r="R63">
        <v>62.229105400000599</v>
      </c>
      <c r="S63">
        <v>62.2437413000006</v>
      </c>
      <c r="T63">
        <v>62.2437413000006</v>
      </c>
      <c r="U63">
        <v>62.2437413000006</v>
      </c>
      <c r="V63">
        <v>62.743927200000101</v>
      </c>
      <c r="X63">
        <v>63.161063300000002</v>
      </c>
      <c r="Y63" t="s">
        <v>37</v>
      </c>
      <c r="Z63">
        <v>0.90165809999962199</v>
      </c>
      <c r="AA63" t="s">
        <v>39</v>
      </c>
      <c r="AB63">
        <v>4</v>
      </c>
      <c r="AC63">
        <v>1</v>
      </c>
      <c r="AD63" t="s">
        <v>40</v>
      </c>
      <c r="AE63" t="s">
        <v>41</v>
      </c>
      <c r="AG63" t="s">
        <v>42</v>
      </c>
      <c r="AH63">
        <v>60.050394290668599</v>
      </c>
      <c r="AI63" t="s">
        <v>43</v>
      </c>
    </row>
    <row r="64" spans="1:35">
      <c r="A64" t="s">
        <v>44</v>
      </c>
      <c r="B64" t="s">
        <v>45</v>
      </c>
      <c r="C64" t="s">
        <v>46</v>
      </c>
      <c r="D64" t="s">
        <v>38</v>
      </c>
      <c r="E64">
        <f t="shared" si="0"/>
        <v>1</v>
      </c>
      <c r="F64">
        <v>62</v>
      </c>
      <c r="G64">
        <v>2</v>
      </c>
      <c r="H64">
        <v>6</v>
      </c>
      <c r="I64" t="s">
        <v>46</v>
      </c>
      <c r="J64">
        <v>0.89751539999997398</v>
      </c>
      <c r="K64" t="s">
        <v>39</v>
      </c>
      <c r="L64">
        <v>6</v>
      </c>
      <c r="M64">
        <v>2</v>
      </c>
      <c r="N64">
        <v>62</v>
      </c>
      <c r="O64">
        <v>4</v>
      </c>
      <c r="P64">
        <v>63.176664200000197</v>
      </c>
      <c r="R64">
        <v>63.162204699999997</v>
      </c>
      <c r="S64">
        <v>63.176664200000197</v>
      </c>
      <c r="T64">
        <v>63.176664200000197</v>
      </c>
      <c r="U64">
        <v>63.176664200000197</v>
      </c>
      <c r="V64">
        <v>63.6767859999999</v>
      </c>
      <c r="X64">
        <v>64.077265900000299</v>
      </c>
      <c r="Y64" t="s">
        <v>46</v>
      </c>
      <c r="Z64">
        <v>0.89751539999997398</v>
      </c>
      <c r="AA64" t="s">
        <v>39</v>
      </c>
      <c r="AB64">
        <v>4</v>
      </c>
      <c r="AC64">
        <v>1</v>
      </c>
      <c r="AD64" t="s">
        <v>40</v>
      </c>
      <c r="AE64" t="s">
        <v>41</v>
      </c>
      <c r="AG64" t="s">
        <v>42</v>
      </c>
      <c r="AH64">
        <v>60.050394290668599</v>
      </c>
      <c r="AI64" t="s">
        <v>43</v>
      </c>
    </row>
    <row r="65" spans="1:35">
      <c r="A65" t="s">
        <v>44</v>
      </c>
      <c r="B65" t="s">
        <v>45</v>
      </c>
      <c r="C65" t="s">
        <v>46</v>
      </c>
      <c r="D65" t="s">
        <v>38</v>
      </c>
      <c r="E65">
        <f t="shared" si="0"/>
        <v>1</v>
      </c>
      <c r="F65">
        <v>63</v>
      </c>
      <c r="G65">
        <v>3</v>
      </c>
      <c r="H65">
        <v>6</v>
      </c>
      <c r="I65" t="s">
        <v>46</v>
      </c>
      <c r="J65">
        <v>1.0184549000005001</v>
      </c>
      <c r="K65" t="s">
        <v>39</v>
      </c>
      <c r="L65">
        <v>6</v>
      </c>
      <c r="M65">
        <v>3</v>
      </c>
      <c r="N65">
        <v>63</v>
      </c>
      <c r="O65">
        <v>8</v>
      </c>
      <c r="P65">
        <v>64.093111300000601</v>
      </c>
      <c r="R65">
        <v>64.078769600000598</v>
      </c>
      <c r="S65">
        <v>64.093111300000601</v>
      </c>
      <c r="T65">
        <v>64.093111300000601</v>
      </c>
      <c r="U65">
        <v>64.093111300000601</v>
      </c>
      <c r="V65">
        <v>64.593141199999906</v>
      </c>
      <c r="W65">
        <v>65.093102800000395</v>
      </c>
      <c r="X65">
        <v>65.127133599999894</v>
      </c>
      <c r="Y65" t="s">
        <v>46</v>
      </c>
      <c r="Z65">
        <v>1.0184549000005001</v>
      </c>
      <c r="AA65" t="s">
        <v>39</v>
      </c>
      <c r="AB65">
        <v>4</v>
      </c>
      <c r="AC65">
        <v>1</v>
      </c>
      <c r="AD65" t="s">
        <v>40</v>
      </c>
      <c r="AE65" t="s">
        <v>41</v>
      </c>
      <c r="AG65" t="s">
        <v>42</v>
      </c>
      <c r="AH65">
        <v>60.050394290668599</v>
      </c>
      <c r="AI65" t="s">
        <v>43</v>
      </c>
    </row>
    <row r="66" spans="1:35">
      <c r="A66" t="s">
        <v>44</v>
      </c>
      <c r="B66" t="s">
        <v>45</v>
      </c>
      <c r="C66" t="s">
        <v>46</v>
      </c>
      <c r="D66" t="s">
        <v>38</v>
      </c>
      <c r="E66">
        <f t="shared" si="0"/>
        <v>1</v>
      </c>
      <c r="F66">
        <v>64</v>
      </c>
      <c r="G66">
        <v>4</v>
      </c>
      <c r="H66">
        <v>6</v>
      </c>
      <c r="I66" t="s">
        <v>46</v>
      </c>
      <c r="J66">
        <v>0.96471620000011105</v>
      </c>
      <c r="K66" t="s">
        <v>39</v>
      </c>
      <c r="L66">
        <v>6</v>
      </c>
      <c r="M66">
        <v>4</v>
      </c>
      <c r="N66">
        <v>64</v>
      </c>
      <c r="O66">
        <v>0</v>
      </c>
      <c r="P66">
        <v>65.142707300000396</v>
      </c>
      <c r="R66">
        <v>65.128366000000796</v>
      </c>
      <c r="S66">
        <v>65.142707300000396</v>
      </c>
      <c r="T66">
        <v>65.142707300000396</v>
      </c>
      <c r="U66">
        <v>65.142707300000396</v>
      </c>
      <c r="V66">
        <v>65.642842300000595</v>
      </c>
      <c r="X66">
        <v>66.109836399999907</v>
      </c>
      <c r="Y66" t="s">
        <v>46</v>
      </c>
      <c r="Z66">
        <v>0.96471620000011105</v>
      </c>
      <c r="AA66" t="s">
        <v>39</v>
      </c>
      <c r="AB66">
        <v>4</v>
      </c>
      <c r="AC66">
        <v>1</v>
      </c>
      <c r="AD66" t="s">
        <v>40</v>
      </c>
      <c r="AE66" t="s">
        <v>41</v>
      </c>
      <c r="AG66" t="s">
        <v>42</v>
      </c>
      <c r="AH66">
        <v>60.050394290668599</v>
      </c>
      <c r="AI66" t="s">
        <v>43</v>
      </c>
    </row>
    <row r="67" spans="1:35">
      <c r="A67" t="s">
        <v>35</v>
      </c>
      <c r="B67" t="s">
        <v>45</v>
      </c>
      <c r="C67" t="s">
        <v>37</v>
      </c>
      <c r="D67" t="s">
        <v>47</v>
      </c>
      <c r="E67">
        <f t="shared" ref="E67:E101" si="1">IF(OR(AND(A67="red", I67="z"), AND(A67="green", I67="m")), 1, 0)</f>
        <v>1</v>
      </c>
      <c r="F67">
        <v>65</v>
      </c>
      <c r="G67">
        <v>5</v>
      </c>
      <c r="H67">
        <v>6</v>
      </c>
      <c r="I67" t="s">
        <v>37</v>
      </c>
      <c r="J67">
        <v>0.93564599999990605</v>
      </c>
      <c r="K67" t="s">
        <v>39</v>
      </c>
      <c r="L67">
        <v>6</v>
      </c>
      <c r="M67">
        <v>5</v>
      </c>
      <c r="N67">
        <v>65</v>
      </c>
      <c r="O67">
        <v>6</v>
      </c>
      <c r="P67">
        <v>66.125656600000099</v>
      </c>
      <c r="R67">
        <v>66.1111812000008</v>
      </c>
      <c r="S67">
        <v>66.125656600000099</v>
      </c>
      <c r="T67">
        <v>66.125656600000099</v>
      </c>
      <c r="U67">
        <v>66.125656600000099</v>
      </c>
      <c r="V67">
        <v>66.625862700000596</v>
      </c>
      <c r="X67">
        <v>67.076617800000307</v>
      </c>
      <c r="Y67" t="s">
        <v>37</v>
      </c>
      <c r="Z67">
        <v>0.93564599999990605</v>
      </c>
      <c r="AA67" t="s">
        <v>39</v>
      </c>
      <c r="AB67">
        <v>4</v>
      </c>
      <c r="AC67">
        <v>1</v>
      </c>
      <c r="AD67" t="s">
        <v>40</v>
      </c>
      <c r="AE67" t="s">
        <v>41</v>
      </c>
      <c r="AG67" t="s">
        <v>42</v>
      </c>
      <c r="AH67">
        <v>60.050394290668599</v>
      </c>
      <c r="AI67" t="s">
        <v>43</v>
      </c>
    </row>
    <row r="68" spans="1:35">
      <c r="A68" t="s">
        <v>44</v>
      </c>
      <c r="B68" t="s">
        <v>36</v>
      </c>
      <c r="C68" t="s">
        <v>46</v>
      </c>
      <c r="D68" t="s">
        <v>47</v>
      </c>
      <c r="E68">
        <f t="shared" si="1"/>
        <v>1</v>
      </c>
      <c r="F68">
        <v>66</v>
      </c>
      <c r="G68">
        <v>6</v>
      </c>
      <c r="H68">
        <v>6</v>
      </c>
      <c r="I68" t="s">
        <v>46</v>
      </c>
      <c r="J68">
        <v>0.92844349999995701</v>
      </c>
      <c r="K68" t="s">
        <v>39</v>
      </c>
      <c r="L68">
        <v>6</v>
      </c>
      <c r="M68">
        <v>6</v>
      </c>
      <c r="N68">
        <v>66</v>
      </c>
      <c r="O68">
        <v>1</v>
      </c>
      <c r="P68">
        <v>67.092005800000095</v>
      </c>
      <c r="R68">
        <v>67.077868100000103</v>
      </c>
      <c r="S68">
        <v>67.092005800000095</v>
      </c>
      <c r="T68">
        <v>67.092005800000095</v>
      </c>
      <c r="U68">
        <v>67.092005800000095</v>
      </c>
      <c r="V68">
        <v>67.591990700000594</v>
      </c>
      <c r="X68">
        <v>68.025995100000699</v>
      </c>
      <c r="Y68" t="s">
        <v>46</v>
      </c>
      <c r="Z68">
        <v>0.92844349999995701</v>
      </c>
      <c r="AA68" t="s">
        <v>39</v>
      </c>
      <c r="AB68">
        <v>4</v>
      </c>
      <c r="AC68">
        <v>1</v>
      </c>
      <c r="AD68" t="s">
        <v>40</v>
      </c>
      <c r="AE68" t="s">
        <v>41</v>
      </c>
      <c r="AG68" t="s">
        <v>42</v>
      </c>
      <c r="AH68">
        <v>60.050394290668599</v>
      </c>
      <c r="AI68" t="s">
        <v>43</v>
      </c>
    </row>
    <row r="69" spans="1:35">
      <c r="A69" t="s">
        <v>44</v>
      </c>
      <c r="B69" t="s">
        <v>36</v>
      </c>
      <c r="C69" t="s">
        <v>46</v>
      </c>
      <c r="D69" t="s">
        <v>47</v>
      </c>
      <c r="E69">
        <f t="shared" si="1"/>
        <v>1</v>
      </c>
      <c r="F69">
        <v>67</v>
      </c>
      <c r="G69">
        <v>7</v>
      </c>
      <c r="H69">
        <v>6</v>
      </c>
      <c r="I69" t="s">
        <v>46</v>
      </c>
      <c r="J69">
        <v>0.88588749999962602</v>
      </c>
      <c r="K69" t="s">
        <v>39</v>
      </c>
      <c r="L69">
        <v>6</v>
      </c>
      <c r="M69">
        <v>7</v>
      </c>
      <c r="N69">
        <v>67</v>
      </c>
      <c r="O69">
        <v>9</v>
      </c>
      <c r="P69">
        <v>68.041798600000206</v>
      </c>
      <c r="R69">
        <v>68.027156200000704</v>
      </c>
      <c r="S69">
        <v>68.041798600000206</v>
      </c>
      <c r="T69">
        <v>68.041798600000206</v>
      </c>
      <c r="U69">
        <v>68.041798600000206</v>
      </c>
      <c r="V69">
        <v>68.541859200000502</v>
      </c>
      <c r="X69">
        <v>68.942471800000007</v>
      </c>
      <c r="Y69" t="s">
        <v>46</v>
      </c>
      <c r="Z69">
        <v>0.88588749999962602</v>
      </c>
      <c r="AA69" t="s">
        <v>39</v>
      </c>
      <c r="AB69">
        <v>4</v>
      </c>
      <c r="AC69">
        <v>1</v>
      </c>
      <c r="AD69" t="s">
        <v>40</v>
      </c>
      <c r="AE69" t="s">
        <v>41</v>
      </c>
      <c r="AG69" t="s">
        <v>42</v>
      </c>
      <c r="AH69">
        <v>60.050394290668599</v>
      </c>
      <c r="AI69" t="s">
        <v>43</v>
      </c>
    </row>
    <row r="70" spans="1:35">
      <c r="A70" t="s">
        <v>44</v>
      </c>
      <c r="B70" t="s">
        <v>36</v>
      </c>
      <c r="C70" t="s">
        <v>46</v>
      </c>
      <c r="D70" t="s">
        <v>47</v>
      </c>
      <c r="E70">
        <f t="shared" si="1"/>
        <v>1</v>
      </c>
      <c r="F70">
        <v>68</v>
      </c>
      <c r="G70">
        <v>8</v>
      </c>
      <c r="H70">
        <v>6</v>
      </c>
      <c r="I70" t="s">
        <v>46</v>
      </c>
      <c r="J70">
        <v>1.1509818000004</v>
      </c>
      <c r="K70" t="s">
        <v>39</v>
      </c>
      <c r="L70">
        <v>6</v>
      </c>
      <c r="M70">
        <v>8</v>
      </c>
      <c r="N70">
        <v>68</v>
      </c>
      <c r="O70">
        <v>5</v>
      </c>
      <c r="P70">
        <v>68.957953500000201</v>
      </c>
      <c r="R70">
        <v>68.943566100000595</v>
      </c>
      <c r="S70">
        <v>68.957953500000201</v>
      </c>
      <c r="T70">
        <v>68.957953500000201</v>
      </c>
      <c r="U70">
        <v>68.957953500000201</v>
      </c>
      <c r="V70">
        <v>69.458175700000496</v>
      </c>
      <c r="W70">
        <v>69.957589700000398</v>
      </c>
      <c r="X70">
        <v>70.125285500000203</v>
      </c>
      <c r="Y70" t="s">
        <v>46</v>
      </c>
      <c r="Z70">
        <v>1.1509818000004</v>
      </c>
      <c r="AA70" t="s">
        <v>39</v>
      </c>
      <c r="AB70">
        <v>4</v>
      </c>
      <c r="AC70">
        <v>1</v>
      </c>
      <c r="AD70" t="s">
        <v>40</v>
      </c>
      <c r="AE70" t="s">
        <v>41</v>
      </c>
      <c r="AG70" t="s">
        <v>42</v>
      </c>
      <c r="AH70">
        <v>60.050394290668599</v>
      </c>
      <c r="AI70" t="s">
        <v>43</v>
      </c>
    </row>
    <row r="71" spans="1:35">
      <c r="A71" t="s">
        <v>35</v>
      </c>
      <c r="B71" t="s">
        <v>36</v>
      </c>
      <c r="C71" t="s">
        <v>37</v>
      </c>
      <c r="D71" t="s">
        <v>38</v>
      </c>
      <c r="E71">
        <f t="shared" si="1"/>
        <v>1</v>
      </c>
      <c r="F71">
        <v>69</v>
      </c>
      <c r="G71">
        <v>9</v>
      </c>
      <c r="H71">
        <v>6</v>
      </c>
      <c r="I71" t="s">
        <v>37</v>
      </c>
      <c r="J71">
        <v>1.53911550000066</v>
      </c>
      <c r="K71" t="s">
        <v>39</v>
      </c>
      <c r="L71">
        <v>6</v>
      </c>
      <c r="M71">
        <v>9</v>
      </c>
      <c r="N71">
        <v>69</v>
      </c>
      <c r="O71">
        <v>3</v>
      </c>
      <c r="P71">
        <v>70.141195400000399</v>
      </c>
      <c r="R71">
        <v>70.126359900000296</v>
      </c>
      <c r="S71">
        <v>70.141195400000399</v>
      </c>
      <c r="T71">
        <v>70.141195400000399</v>
      </c>
      <c r="U71">
        <v>70.141195400000399</v>
      </c>
      <c r="V71">
        <v>70.641249799999898</v>
      </c>
      <c r="W71">
        <v>71.141003100000404</v>
      </c>
      <c r="X71">
        <v>71.691189200000693</v>
      </c>
      <c r="Y71" t="s">
        <v>37</v>
      </c>
      <c r="Z71">
        <v>1.53911550000066</v>
      </c>
      <c r="AA71" t="s">
        <v>39</v>
      </c>
      <c r="AB71">
        <v>4</v>
      </c>
      <c r="AC71">
        <v>1</v>
      </c>
      <c r="AD71" t="s">
        <v>40</v>
      </c>
      <c r="AE71" t="s">
        <v>41</v>
      </c>
      <c r="AG71" t="s">
        <v>42</v>
      </c>
      <c r="AH71">
        <v>60.050394290668599</v>
      </c>
      <c r="AI71" t="s">
        <v>43</v>
      </c>
    </row>
    <row r="72" spans="1:35">
      <c r="A72" t="s">
        <v>35</v>
      </c>
      <c r="B72" t="s">
        <v>45</v>
      </c>
      <c r="C72" t="s">
        <v>37</v>
      </c>
      <c r="D72" t="s">
        <v>47</v>
      </c>
      <c r="E72">
        <f t="shared" si="1"/>
        <v>1</v>
      </c>
      <c r="F72">
        <v>70</v>
      </c>
      <c r="G72">
        <v>0</v>
      </c>
      <c r="H72">
        <v>7</v>
      </c>
      <c r="I72" t="s">
        <v>37</v>
      </c>
      <c r="J72">
        <v>1.5647671999995501</v>
      </c>
      <c r="K72" t="s">
        <v>39</v>
      </c>
      <c r="L72">
        <v>7</v>
      </c>
      <c r="M72">
        <v>0</v>
      </c>
      <c r="N72">
        <v>70</v>
      </c>
      <c r="O72">
        <v>2</v>
      </c>
      <c r="P72">
        <v>71.707069599999997</v>
      </c>
      <c r="R72">
        <v>71.692410900000098</v>
      </c>
      <c r="S72">
        <v>71.707069599999997</v>
      </c>
      <c r="T72">
        <v>71.707069599999997</v>
      </c>
      <c r="U72">
        <v>71.707069599999997</v>
      </c>
      <c r="V72">
        <v>72.206940100000693</v>
      </c>
      <c r="W72">
        <v>72.7070954</v>
      </c>
      <c r="X72">
        <v>73.273957199999998</v>
      </c>
      <c r="Y72" t="s">
        <v>37</v>
      </c>
      <c r="Z72">
        <v>1.5647671999995501</v>
      </c>
      <c r="AA72" t="s">
        <v>39</v>
      </c>
      <c r="AB72">
        <v>4</v>
      </c>
      <c r="AC72">
        <v>1</v>
      </c>
      <c r="AD72" t="s">
        <v>40</v>
      </c>
      <c r="AE72" t="s">
        <v>41</v>
      </c>
      <c r="AG72" t="s">
        <v>42</v>
      </c>
      <c r="AH72">
        <v>60.050394290668599</v>
      </c>
      <c r="AI72" t="s">
        <v>43</v>
      </c>
    </row>
    <row r="73" spans="1:35">
      <c r="A73" t="s">
        <v>35</v>
      </c>
      <c r="B73" t="s">
        <v>36</v>
      </c>
      <c r="C73" t="s">
        <v>37</v>
      </c>
      <c r="D73" t="s">
        <v>38</v>
      </c>
      <c r="E73">
        <f t="shared" si="1"/>
        <v>1</v>
      </c>
      <c r="F73">
        <v>71</v>
      </c>
      <c r="G73">
        <v>1</v>
      </c>
      <c r="H73">
        <v>7</v>
      </c>
      <c r="I73" t="s">
        <v>37</v>
      </c>
      <c r="J73">
        <v>1.74211279999963</v>
      </c>
      <c r="K73" t="s">
        <v>39</v>
      </c>
      <c r="L73">
        <v>7</v>
      </c>
      <c r="M73">
        <v>1</v>
      </c>
      <c r="N73">
        <v>71</v>
      </c>
      <c r="O73">
        <v>7</v>
      </c>
      <c r="P73">
        <v>73.290073900000607</v>
      </c>
      <c r="R73">
        <v>73.2755851000001</v>
      </c>
      <c r="S73">
        <v>73.290073900000607</v>
      </c>
      <c r="T73">
        <v>73.290073900000607</v>
      </c>
      <c r="U73">
        <v>73.290073900000607</v>
      </c>
      <c r="V73">
        <v>73.790144800000206</v>
      </c>
      <c r="W73">
        <v>74.290012899999894</v>
      </c>
      <c r="X73">
        <v>75.040689299999897</v>
      </c>
      <c r="Y73" t="s">
        <v>37</v>
      </c>
      <c r="Z73">
        <v>1.74211279999963</v>
      </c>
      <c r="AA73" t="s">
        <v>39</v>
      </c>
      <c r="AB73">
        <v>4</v>
      </c>
      <c r="AC73">
        <v>1</v>
      </c>
      <c r="AD73" t="s">
        <v>40</v>
      </c>
      <c r="AE73" t="s">
        <v>41</v>
      </c>
      <c r="AG73" t="s">
        <v>42</v>
      </c>
      <c r="AH73">
        <v>60.050394290668599</v>
      </c>
      <c r="AI73" t="s">
        <v>43</v>
      </c>
    </row>
    <row r="74" spans="1:35">
      <c r="A74" t="s">
        <v>44</v>
      </c>
      <c r="B74" t="s">
        <v>36</v>
      </c>
      <c r="C74" t="s">
        <v>46</v>
      </c>
      <c r="D74" t="s">
        <v>47</v>
      </c>
      <c r="E74">
        <f t="shared" si="1"/>
        <v>1</v>
      </c>
      <c r="F74">
        <v>72</v>
      </c>
      <c r="G74">
        <v>2</v>
      </c>
      <c r="H74">
        <v>7</v>
      </c>
      <c r="I74" t="s">
        <v>46</v>
      </c>
      <c r="J74">
        <v>0.77508390000002603</v>
      </c>
      <c r="K74" t="s">
        <v>39</v>
      </c>
      <c r="L74">
        <v>7</v>
      </c>
      <c r="M74">
        <v>2</v>
      </c>
      <c r="N74">
        <v>72</v>
      </c>
      <c r="O74">
        <v>5</v>
      </c>
      <c r="P74">
        <v>75.055853600000702</v>
      </c>
      <c r="R74">
        <v>75.041980500000093</v>
      </c>
      <c r="S74">
        <v>75.055853600000702</v>
      </c>
      <c r="T74">
        <v>75.055853600000702</v>
      </c>
      <c r="U74">
        <v>75.055853600000702</v>
      </c>
      <c r="V74">
        <v>75.555958599999897</v>
      </c>
      <c r="X74">
        <v>75.839805700000397</v>
      </c>
      <c r="Y74" t="s">
        <v>46</v>
      </c>
      <c r="Z74">
        <v>0.77508390000002603</v>
      </c>
      <c r="AA74" t="s">
        <v>39</v>
      </c>
      <c r="AB74">
        <v>4</v>
      </c>
      <c r="AC74">
        <v>1</v>
      </c>
      <c r="AD74" t="s">
        <v>40</v>
      </c>
      <c r="AE74" t="s">
        <v>41</v>
      </c>
      <c r="AG74" t="s">
        <v>42</v>
      </c>
      <c r="AH74">
        <v>60.050394290668599</v>
      </c>
      <c r="AI74" t="s">
        <v>43</v>
      </c>
    </row>
    <row r="75" spans="1:35">
      <c r="A75" t="s">
        <v>44</v>
      </c>
      <c r="B75" t="s">
        <v>36</v>
      </c>
      <c r="C75" t="s">
        <v>46</v>
      </c>
      <c r="D75" t="s">
        <v>47</v>
      </c>
      <c r="E75">
        <f t="shared" si="1"/>
        <v>1</v>
      </c>
      <c r="F75">
        <v>73</v>
      </c>
      <c r="G75">
        <v>3</v>
      </c>
      <c r="H75">
        <v>7</v>
      </c>
      <c r="I75" t="s">
        <v>46</v>
      </c>
      <c r="J75">
        <v>1.2090895000001101</v>
      </c>
      <c r="K75" t="s">
        <v>39</v>
      </c>
      <c r="L75">
        <v>7</v>
      </c>
      <c r="M75">
        <v>3</v>
      </c>
      <c r="N75">
        <v>73</v>
      </c>
      <c r="O75">
        <v>1</v>
      </c>
      <c r="P75">
        <v>75.855588400000599</v>
      </c>
      <c r="R75">
        <v>75.840867900000305</v>
      </c>
      <c r="S75">
        <v>75.855588400000599</v>
      </c>
      <c r="T75">
        <v>75.855588400000599</v>
      </c>
      <c r="U75">
        <v>75.855588400000599</v>
      </c>
      <c r="V75">
        <v>76.355871800000301</v>
      </c>
      <c r="W75">
        <v>76.855270500000103</v>
      </c>
      <c r="X75">
        <v>77.0728500000004</v>
      </c>
      <c r="Y75" t="s">
        <v>46</v>
      </c>
      <c r="Z75">
        <v>1.2090895000001101</v>
      </c>
      <c r="AA75" t="s">
        <v>39</v>
      </c>
      <c r="AB75">
        <v>4</v>
      </c>
      <c r="AC75">
        <v>1</v>
      </c>
      <c r="AD75" t="s">
        <v>40</v>
      </c>
      <c r="AE75" t="s">
        <v>41</v>
      </c>
      <c r="AG75" t="s">
        <v>42</v>
      </c>
      <c r="AH75">
        <v>60.050394290668599</v>
      </c>
      <c r="AI75" t="s">
        <v>43</v>
      </c>
    </row>
    <row r="76" spans="1:35">
      <c r="A76" t="s">
        <v>44</v>
      </c>
      <c r="B76" t="s">
        <v>45</v>
      </c>
      <c r="C76" t="s">
        <v>46</v>
      </c>
      <c r="D76" t="s">
        <v>38</v>
      </c>
      <c r="E76">
        <f t="shared" si="1"/>
        <v>1</v>
      </c>
      <c r="F76">
        <v>74</v>
      </c>
      <c r="G76">
        <v>4</v>
      </c>
      <c r="H76">
        <v>7</v>
      </c>
      <c r="I76" t="s">
        <v>46</v>
      </c>
      <c r="J76">
        <v>1.0902065000000201</v>
      </c>
      <c r="K76" t="s">
        <v>39</v>
      </c>
      <c r="L76">
        <v>7</v>
      </c>
      <c r="M76">
        <v>4</v>
      </c>
      <c r="N76">
        <v>74</v>
      </c>
      <c r="O76">
        <v>4</v>
      </c>
      <c r="P76">
        <v>77.088627699999904</v>
      </c>
      <c r="R76">
        <v>77.074006900000299</v>
      </c>
      <c r="S76">
        <v>77.088627699999904</v>
      </c>
      <c r="T76">
        <v>77.088627699999904</v>
      </c>
      <c r="U76">
        <v>77.088627699999904</v>
      </c>
      <c r="V76">
        <v>77.588845400000494</v>
      </c>
      <c r="W76">
        <v>78.088658200000197</v>
      </c>
      <c r="X76">
        <v>78.189420100000405</v>
      </c>
      <c r="Y76" t="s">
        <v>46</v>
      </c>
      <c r="Z76">
        <v>1.0902065000000201</v>
      </c>
      <c r="AA76" t="s">
        <v>39</v>
      </c>
      <c r="AB76">
        <v>4</v>
      </c>
      <c r="AC76">
        <v>1</v>
      </c>
      <c r="AD76" t="s">
        <v>40</v>
      </c>
      <c r="AE76" t="s">
        <v>41</v>
      </c>
      <c r="AG76" t="s">
        <v>42</v>
      </c>
      <c r="AH76">
        <v>60.050394290668599</v>
      </c>
      <c r="AI76" t="s">
        <v>43</v>
      </c>
    </row>
    <row r="77" spans="1:35">
      <c r="A77" t="s">
        <v>44</v>
      </c>
      <c r="B77" t="s">
        <v>45</v>
      </c>
      <c r="C77" t="s">
        <v>46</v>
      </c>
      <c r="D77" t="s">
        <v>38</v>
      </c>
      <c r="E77">
        <f t="shared" si="1"/>
        <v>1</v>
      </c>
      <c r="F77">
        <v>75</v>
      </c>
      <c r="G77">
        <v>5</v>
      </c>
      <c r="H77">
        <v>7</v>
      </c>
      <c r="I77" t="s">
        <v>46</v>
      </c>
      <c r="J77">
        <v>1.41834050000034</v>
      </c>
      <c r="K77" t="s">
        <v>39</v>
      </c>
      <c r="L77">
        <v>7</v>
      </c>
      <c r="M77">
        <v>5</v>
      </c>
      <c r="N77">
        <v>75</v>
      </c>
      <c r="O77">
        <v>0</v>
      </c>
      <c r="P77">
        <v>78.204859100000206</v>
      </c>
      <c r="R77">
        <v>78.190701899999993</v>
      </c>
      <c r="S77">
        <v>78.204859100000206</v>
      </c>
      <c r="T77">
        <v>78.204859100000206</v>
      </c>
      <c r="U77">
        <v>78.204859100000206</v>
      </c>
      <c r="V77">
        <v>78.7050749</v>
      </c>
      <c r="W77">
        <v>79.204776500000605</v>
      </c>
      <c r="X77">
        <v>79.638796600000205</v>
      </c>
      <c r="Y77" t="s">
        <v>46</v>
      </c>
      <c r="Z77">
        <v>1.41834050000034</v>
      </c>
      <c r="AA77" t="s">
        <v>39</v>
      </c>
      <c r="AB77">
        <v>4</v>
      </c>
      <c r="AC77">
        <v>1</v>
      </c>
      <c r="AD77" t="s">
        <v>40</v>
      </c>
      <c r="AE77" t="s">
        <v>41</v>
      </c>
      <c r="AG77" t="s">
        <v>42</v>
      </c>
      <c r="AH77">
        <v>60.050394290668599</v>
      </c>
      <c r="AI77" t="s">
        <v>43</v>
      </c>
    </row>
    <row r="78" spans="1:35">
      <c r="A78" t="s">
        <v>44</v>
      </c>
      <c r="B78" t="s">
        <v>45</v>
      </c>
      <c r="C78" t="s">
        <v>46</v>
      </c>
      <c r="D78" t="s">
        <v>38</v>
      </c>
      <c r="E78">
        <f t="shared" si="1"/>
        <v>1</v>
      </c>
      <c r="F78">
        <v>76</v>
      </c>
      <c r="G78">
        <v>6</v>
      </c>
      <c r="H78">
        <v>7</v>
      </c>
      <c r="I78" t="s">
        <v>46</v>
      </c>
      <c r="J78">
        <v>1.29012039999997</v>
      </c>
      <c r="K78" t="s">
        <v>39</v>
      </c>
      <c r="L78">
        <v>7</v>
      </c>
      <c r="M78">
        <v>6</v>
      </c>
      <c r="N78">
        <v>76</v>
      </c>
      <c r="O78">
        <v>8</v>
      </c>
      <c r="P78">
        <v>79.654392100000194</v>
      </c>
      <c r="R78">
        <v>79.639984800000093</v>
      </c>
      <c r="S78">
        <v>79.654392100000194</v>
      </c>
      <c r="T78">
        <v>79.654392100000194</v>
      </c>
      <c r="U78">
        <v>79.654392100000194</v>
      </c>
      <c r="V78">
        <v>80.154381199999904</v>
      </c>
      <c r="W78">
        <v>80.654394600000103</v>
      </c>
      <c r="X78">
        <v>80.955594400000294</v>
      </c>
      <c r="Y78" t="s">
        <v>46</v>
      </c>
      <c r="Z78">
        <v>1.29012039999997</v>
      </c>
      <c r="AA78" t="s">
        <v>39</v>
      </c>
      <c r="AB78">
        <v>4</v>
      </c>
      <c r="AC78">
        <v>1</v>
      </c>
      <c r="AD78" t="s">
        <v>40</v>
      </c>
      <c r="AE78" t="s">
        <v>41</v>
      </c>
      <c r="AG78" t="s">
        <v>42</v>
      </c>
      <c r="AH78">
        <v>60.050394290668599</v>
      </c>
      <c r="AI78" t="s">
        <v>43</v>
      </c>
    </row>
    <row r="79" spans="1:35">
      <c r="A79" t="s">
        <v>35</v>
      </c>
      <c r="B79" t="s">
        <v>45</v>
      </c>
      <c r="C79" t="s">
        <v>37</v>
      </c>
      <c r="D79" t="s">
        <v>47</v>
      </c>
      <c r="E79">
        <f t="shared" si="1"/>
        <v>1</v>
      </c>
      <c r="F79">
        <v>77</v>
      </c>
      <c r="G79">
        <v>7</v>
      </c>
      <c r="H79">
        <v>7</v>
      </c>
      <c r="I79" t="s">
        <v>37</v>
      </c>
      <c r="J79">
        <v>1.08239330000014</v>
      </c>
      <c r="K79" t="s">
        <v>39</v>
      </c>
      <c r="L79">
        <v>7</v>
      </c>
      <c r="M79">
        <v>7</v>
      </c>
      <c r="N79">
        <v>77</v>
      </c>
      <c r="O79">
        <v>6</v>
      </c>
      <c r="P79">
        <v>80.970631000000097</v>
      </c>
      <c r="R79">
        <v>80.956767700000398</v>
      </c>
      <c r="S79">
        <v>80.970631000000097</v>
      </c>
      <c r="T79">
        <v>80.970631000000097</v>
      </c>
      <c r="U79">
        <v>80.970631000000097</v>
      </c>
      <c r="V79">
        <v>81.470669799999996</v>
      </c>
      <c r="W79">
        <v>81.9706513000001</v>
      </c>
      <c r="X79">
        <v>82.054538900000793</v>
      </c>
      <c r="Y79" t="s">
        <v>37</v>
      </c>
      <c r="Z79">
        <v>1.08239330000014</v>
      </c>
      <c r="AA79" t="s">
        <v>39</v>
      </c>
      <c r="AB79">
        <v>4</v>
      </c>
      <c r="AC79">
        <v>1</v>
      </c>
      <c r="AD79" t="s">
        <v>40</v>
      </c>
      <c r="AE79" t="s">
        <v>41</v>
      </c>
      <c r="AG79" t="s">
        <v>42</v>
      </c>
      <c r="AH79">
        <v>60.050394290668599</v>
      </c>
      <c r="AI79" t="s">
        <v>43</v>
      </c>
    </row>
    <row r="80" spans="1:35">
      <c r="A80" t="s">
        <v>35</v>
      </c>
      <c r="B80" t="s">
        <v>36</v>
      </c>
      <c r="C80" t="s">
        <v>37</v>
      </c>
      <c r="D80" t="s">
        <v>38</v>
      </c>
      <c r="E80">
        <f t="shared" si="1"/>
        <v>1</v>
      </c>
      <c r="F80">
        <v>78</v>
      </c>
      <c r="G80">
        <v>8</v>
      </c>
      <c r="H80">
        <v>7</v>
      </c>
      <c r="I80" t="s">
        <v>37</v>
      </c>
      <c r="J80">
        <v>1.77935389999947</v>
      </c>
      <c r="K80" t="s">
        <v>39</v>
      </c>
      <c r="L80">
        <v>7</v>
      </c>
      <c r="M80">
        <v>8</v>
      </c>
      <c r="N80">
        <v>78</v>
      </c>
      <c r="O80">
        <v>3</v>
      </c>
      <c r="P80">
        <v>82.070330600000403</v>
      </c>
      <c r="R80">
        <v>82.055663900000496</v>
      </c>
      <c r="S80">
        <v>82.070330600000403</v>
      </c>
      <c r="T80">
        <v>82.070330600000403</v>
      </c>
      <c r="U80">
        <v>82.070330600000403</v>
      </c>
      <c r="V80">
        <v>82.570402300000694</v>
      </c>
      <c r="W80">
        <v>83.070208000000093</v>
      </c>
      <c r="X80">
        <v>83.853973400000498</v>
      </c>
      <c r="Y80" t="s">
        <v>37</v>
      </c>
      <c r="Z80">
        <v>1.77935389999947</v>
      </c>
      <c r="AA80" t="s">
        <v>39</v>
      </c>
      <c r="AB80">
        <v>4</v>
      </c>
      <c r="AC80">
        <v>1</v>
      </c>
      <c r="AD80" t="s">
        <v>40</v>
      </c>
      <c r="AE80" t="s">
        <v>41</v>
      </c>
      <c r="AG80" t="s">
        <v>42</v>
      </c>
      <c r="AH80">
        <v>60.050394290668599</v>
      </c>
      <c r="AI80" t="s">
        <v>43</v>
      </c>
    </row>
    <row r="81" spans="1:35">
      <c r="A81" t="s">
        <v>44</v>
      </c>
      <c r="B81" t="s">
        <v>36</v>
      </c>
      <c r="C81" t="s">
        <v>46</v>
      </c>
      <c r="D81" t="s">
        <v>47</v>
      </c>
      <c r="E81">
        <f t="shared" si="1"/>
        <v>1</v>
      </c>
      <c r="F81">
        <v>79</v>
      </c>
      <c r="G81">
        <v>9</v>
      </c>
      <c r="H81">
        <v>7</v>
      </c>
      <c r="I81" t="s">
        <v>46</v>
      </c>
      <c r="J81">
        <v>1.7210286999997999</v>
      </c>
      <c r="K81" t="s">
        <v>39</v>
      </c>
      <c r="L81">
        <v>7</v>
      </c>
      <c r="M81">
        <v>9</v>
      </c>
      <c r="N81">
        <v>79</v>
      </c>
      <c r="O81">
        <v>9</v>
      </c>
      <c r="P81">
        <v>83.869692400000503</v>
      </c>
      <c r="R81">
        <v>83.855180000000402</v>
      </c>
      <c r="S81">
        <v>83.869692400000503</v>
      </c>
      <c r="T81">
        <v>83.869692400000503</v>
      </c>
      <c r="U81">
        <v>83.869692400000503</v>
      </c>
      <c r="V81">
        <v>84.369488400000506</v>
      </c>
      <c r="W81">
        <v>84.8696046000004</v>
      </c>
      <c r="X81">
        <v>85.603340100000395</v>
      </c>
      <c r="Y81" t="s">
        <v>46</v>
      </c>
      <c r="Z81">
        <v>1.7210286999997999</v>
      </c>
      <c r="AA81" t="s">
        <v>39</v>
      </c>
      <c r="AB81">
        <v>4</v>
      </c>
      <c r="AC81">
        <v>1</v>
      </c>
      <c r="AD81" t="s">
        <v>40</v>
      </c>
      <c r="AE81" t="s">
        <v>41</v>
      </c>
      <c r="AG81" t="s">
        <v>42</v>
      </c>
      <c r="AH81">
        <v>60.050394290668599</v>
      </c>
      <c r="AI81" t="s">
        <v>43</v>
      </c>
    </row>
    <row r="82" spans="1:35">
      <c r="A82" t="s">
        <v>35</v>
      </c>
      <c r="B82" t="s">
        <v>45</v>
      </c>
      <c r="C82" t="s">
        <v>37</v>
      </c>
      <c r="D82" t="s">
        <v>47</v>
      </c>
      <c r="E82">
        <f t="shared" si="1"/>
        <v>1</v>
      </c>
      <c r="F82">
        <v>80</v>
      </c>
      <c r="G82">
        <v>0</v>
      </c>
      <c r="H82">
        <v>8</v>
      </c>
      <c r="I82" t="s">
        <v>37</v>
      </c>
      <c r="J82">
        <v>1.0577197999991701</v>
      </c>
      <c r="K82" t="s">
        <v>39</v>
      </c>
      <c r="L82">
        <v>8</v>
      </c>
      <c r="M82">
        <v>0</v>
      </c>
      <c r="N82">
        <v>80</v>
      </c>
      <c r="O82">
        <v>2</v>
      </c>
      <c r="P82">
        <v>85.619134600000507</v>
      </c>
      <c r="R82">
        <v>85.604504100000597</v>
      </c>
      <c r="S82">
        <v>85.619134600000507</v>
      </c>
      <c r="T82">
        <v>85.619134600000507</v>
      </c>
      <c r="U82">
        <v>85.619134600000507</v>
      </c>
      <c r="V82">
        <v>86.1192037</v>
      </c>
      <c r="W82">
        <v>86.619017100000704</v>
      </c>
      <c r="X82">
        <v>86.686255500000698</v>
      </c>
      <c r="Y82" t="s">
        <v>37</v>
      </c>
      <c r="Z82">
        <v>1.0577197999991701</v>
      </c>
      <c r="AA82" t="s">
        <v>39</v>
      </c>
      <c r="AB82">
        <v>4</v>
      </c>
      <c r="AC82">
        <v>1</v>
      </c>
      <c r="AD82" t="s">
        <v>40</v>
      </c>
      <c r="AE82" t="s">
        <v>41</v>
      </c>
      <c r="AG82" t="s">
        <v>42</v>
      </c>
      <c r="AH82">
        <v>60.050394290668599</v>
      </c>
      <c r="AI82" t="s">
        <v>43</v>
      </c>
    </row>
    <row r="83" spans="1:35">
      <c r="A83" t="s">
        <v>44</v>
      </c>
      <c r="B83" t="s">
        <v>36</v>
      </c>
      <c r="C83" t="s">
        <v>46</v>
      </c>
      <c r="D83" t="s">
        <v>47</v>
      </c>
      <c r="E83">
        <f t="shared" si="1"/>
        <v>1</v>
      </c>
      <c r="F83">
        <v>81</v>
      </c>
      <c r="G83">
        <v>1</v>
      </c>
      <c r="H83">
        <v>8</v>
      </c>
      <c r="I83" t="s">
        <v>46</v>
      </c>
      <c r="J83">
        <v>1.6518955000001301</v>
      </c>
      <c r="K83" t="s">
        <v>39</v>
      </c>
      <c r="L83">
        <v>8</v>
      </c>
      <c r="M83">
        <v>1</v>
      </c>
      <c r="N83">
        <v>81</v>
      </c>
      <c r="O83">
        <v>9</v>
      </c>
      <c r="P83">
        <v>86.702010800000593</v>
      </c>
      <c r="R83">
        <v>86.6874514000001</v>
      </c>
      <c r="S83">
        <v>86.702010800000593</v>
      </c>
      <c r="T83">
        <v>86.702010800000593</v>
      </c>
      <c r="U83">
        <v>86.702010800000593</v>
      </c>
      <c r="V83">
        <v>87.201973400000497</v>
      </c>
      <c r="W83">
        <v>87.701889900000396</v>
      </c>
      <c r="X83">
        <v>88.369149400000396</v>
      </c>
      <c r="Y83" t="s">
        <v>46</v>
      </c>
      <c r="Z83">
        <v>1.6518955000001301</v>
      </c>
      <c r="AA83" t="s">
        <v>39</v>
      </c>
      <c r="AB83">
        <v>4</v>
      </c>
      <c r="AC83">
        <v>1</v>
      </c>
      <c r="AD83" t="s">
        <v>40</v>
      </c>
      <c r="AE83" t="s">
        <v>41</v>
      </c>
      <c r="AG83" t="s">
        <v>42</v>
      </c>
      <c r="AH83">
        <v>60.050394290668599</v>
      </c>
      <c r="AI83" t="s">
        <v>43</v>
      </c>
    </row>
    <row r="84" spans="1:35">
      <c r="A84" t="s">
        <v>35</v>
      </c>
      <c r="B84" t="s">
        <v>36</v>
      </c>
      <c r="C84" t="s">
        <v>37</v>
      </c>
      <c r="D84" t="s">
        <v>38</v>
      </c>
      <c r="E84">
        <f t="shared" si="1"/>
        <v>1</v>
      </c>
      <c r="F84">
        <v>82</v>
      </c>
      <c r="G84">
        <v>2</v>
      </c>
      <c r="H84">
        <v>8</v>
      </c>
      <c r="I84" t="s">
        <v>37</v>
      </c>
      <c r="J84">
        <v>1.03851200000008</v>
      </c>
      <c r="K84" t="s">
        <v>39</v>
      </c>
      <c r="L84">
        <v>8</v>
      </c>
      <c r="M84">
        <v>2</v>
      </c>
      <c r="N84">
        <v>82</v>
      </c>
      <c r="O84">
        <v>7</v>
      </c>
      <c r="P84">
        <v>88.384894600000706</v>
      </c>
      <c r="R84">
        <v>88.371578400000502</v>
      </c>
      <c r="S84">
        <v>88.384894600000706</v>
      </c>
      <c r="T84">
        <v>88.384894600000706</v>
      </c>
      <c r="U84">
        <v>88.384894600000706</v>
      </c>
      <c r="V84">
        <v>88.884928700000202</v>
      </c>
      <c r="W84">
        <v>89.384606100000298</v>
      </c>
      <c r="X84">
        <v>89.435399200000504</v>
      </c>
      <c r="Y84" t="s">
        <v>37</v>
      </c>
      <c r="Z84">
        <v>1.03851200000008</v>
      </c>
      <c r="AA84" t="s">
        <v>39</v>
      </c>
      <c r="AB84">
        <v>4</v>
      </c>
      <c r="AC84">
        <v>1</v>
      </c>
      <c r="AD84" t="s">
        <v>40</v>
      </c>
      <c r="AE84" t="s">
        <v>41</v>
      </c>
      <c r="AG84" t="s">
        <v>42</v>
      </c>
      <c r="AH84">
        <v>60.050394290668599</v>
      </c>
      <c r="AI84" t="s">
        <v>43</v>
      </c>
    </row>
    <row r="85" spans="1:35">
      <c r="A85" t="s">
        <v>44</v>
      </c>
      <c r="B85" t="s">
        <v>36</v>
      </c>
      <c r="C85" t="s">
        <v>46</v>
      </c>
      <c r="D85" t="s">
        <v>47</v>
      </c>
      <c r="E85">
        <f t="shared" si="1"/>
        <v>1</v>
      </c>
      <c r="F85">
        <v>83</v>
      </c>
      <c r="G85">
        <v>3</v>
      </c>
      <c r="H85">
        <v>8</v>
      </c>
      <c r="I85" t="s">
        <v>46</v>
      </c>
      <c r="J85">
        <v>1.02815480000026</v>
      </c>
      <c r="K85" t="s">
        <v>39</v>
      </c>
      <c r="L85">
        <v>8</v>
      </c>
      <c r="M85">
        <v>3</v>
      </c>
      <c r="N85">
        <v>83</v>
      </c>
      <c r="O85">
        <v>1</v>
      </c>
      <c r="P85">
        <v>89.451054600000106</v>
      </c>
      <c r="R85">
        <v>89.436785100000606</v>
      </c>
      <c r="S85">
        <v>89.451054600000106</v>
      </c>
      <c r="T85">
        <v>89.451054600000106</v>
      </c>
      <c r="U85">
        <v>89.451054600000106</v>
      </c>
      <c r="V85">
        <v>89.951142500000003</v>
      </c>
      <c r="W85">
        <v>90.4506925000005</v>
      </c>
      <c r="X85">
        <v>90.484693700000193</v>
      </c>
      <c r="Y85" t="s">
        <v>46</v>
      </c>
      <c r="Z85">
        <v>1.02815480000026</v>
      </c>
      <c r="AA85" t="s">
        <v>39</v>
      </c>
      <c r="AB85">
        <v>4</v>
      </c>
      <c r="AC85">
        <v>1</v>
      </c>
      <c r="AD85" t="s">
        <v>40</v>
      </c>
      <c r="AE85" t="s">
        <v>41</v>
      </c>
      <c r="AG85" t="s">
        <v>42</v>
      </c>
      <c r="AH85">
        <v>60.050394290668599</v>
      </c>
      <c r="AI85" t="s">
        <v>43</v>
      </c>
    </row>
    <row r="86" spans="1:35">
      <c r="A86" t="s">
        <v>44</v>
      </c>
      <c r="B86" t="s">
        <v>45</v>
      </c>
      <c r="C86" t="s">
        <v>46</v>
      </c>
      <c r="D86" t="s">
        <v>38</v>
      </c>
      <c r="E86">
        <f t="shared" si="1"/>
        <v>1</v>
      </c>
      <c r="F86">
        <v>84</v>
      </c>
      <c r="G86">
        <v>4</v>
      </c>
      <c r="H86">
        <v>8</v>
      </c>
      <c r="I86" t="s">
        <v>46</v>
      </c>
      <c r="J86">
        <v>0.92773029999989298</v>
      </c>
      <c r="K86" t="s">
        <v>39</v>
      </c>
      <c r="L86">
        <v>8</v>
      </c>
      <c r="M86">
        <v>4</v>
      </c>
      <c r="N86">
        <v>84</v>
      </c>
      <c r="O86">
        <v>0</v>
      </c>
      <c r="P86">
        <v>90.500785500000305</v>
      </c>
      <c r="R86">
        <v>90.486063799999997</v>
      </c>
      <c r="S86">
        <v>90.500785500000305</v>
      </c>
      <c r="T86">
        <v>90.500785500000305</v>
      </c>
      <c r="U86">
        <v>90.500785500000305</v>
      </c>
      <c r="V86">
        <v>91.000802000000405</v>
      </c>
      <c r="X86">
        <v>91.434680000000299</v>
      </c>
      <c r="Y86" t="s">
        <v>46</v>
      </c>
      <c r="Z86">
        <v>0.92773029999989298</v>
      </c>
      <c r="AA86" t="s">
        <v>39</v>
      </c>
      <c r="AB86">
        <v>4</v>
      </c>
      <c r="AC86">
        <v>1</v>
      </c>
      <c r="AD86" t="s">
        <v>40</v>
      </c>
      <c r="AE86" t="s">
        <v>41</v>
      </c>
      <c r="AG86" t="s">
        <v>42</v>
      </c>
      <c r="AH86">
        <v>60.050394290668599</v>
      </c>
      <c r="AI86" t="s">
        <v>43</v>
      </c>
    </row>
    <row r="87" spans="1:35">
      <c r="A87" t="s">
        <v>44</v>
      </c>
      <c r="B87" t="s">
        <v>45</v>
      </c>
      <c r="C87" t="s">
        <v>46</v>
      </c>
      <c r="D87" t="s">
        <v>38</v>
      </c>
      <c r="E87">
        <f t="shared" si="1"/>
        <v>1</v>
      </c>
      <c r="F87">
        <v>85</v>
      </c>
      <c r="G87">
        <v>5</v>
      </c>
      <c r="H87">
        <v>8</v>
      </c>
      <c r="I87" t="s">
        <v>46</v>
      </c>
      <c r="J87">
        <v>1.01114880000022</v>
      </c>
      <c r="K87" t="s">
        <v>39</v>
      </c>
      <c r="L87">
        <v>8</v>
      </c>
      <c r="M87">
        <v>5</v>
      </c>
      <c r="N87">
        <v>85</v>
      </c>
      <c r="O87">
        <v>8</v>
      </c>
      <c r="P87">
        <v>91.450430400000101</v>
      </c>
      <c r="R87">
        <v>91.435848099999902</v>
      </c>
      <c r="S87">
        <v>91.450430400000101</v>
      </c>
      <c r="T87">
        <v>91.450430400000101</v>
      </c>
      <c r="U87">
        <v>91.450430400000101</v>
      </c>
      <c r="V87">
        <v>91.950493000000193</v>
      </c>
      <c r="W87">
        <v>92.450297600000297</v>
      </c>
      <c r="X87">
        <v>92.467844499999899</v>
      </c>
      <c r="Y87" t="s">
        <v>46</v>
      </c>
      <c r="Z87">
        <v>1.01114880000022</v>
      </c>
      <c r="AA87" t="s">
        <v>39</v>
      </c>
      <c r="AB87">
        <v>4</v>
      </c>
      <c r="AC87">
        <v>1</v>
      </c>
      <c r="AD87" t="s">
        <v>40</v>
      </c>
      <c r="AE87" t="s">
        <v>41</v>
      </c>
      <c r="AG87" t="s">
        <v>42</v>
      </c>
      <c r="AH87">
        <v>60.050394290668599</v>
      </c>
      <c r="AI87" t="s">
        <v>43</v>
      </c>
    </row>
    <row r="88" spans="1:35">
      <c r="A88" t="s">
        <v>44</v>
      </c>
      <c r="B88" t="s">
        <v>45</v>
      </c>
      <c r="C88" t="s">
        <v>46</v>
      </c>
      <c r="D88" t="s">
        <v>38</v>
      </c>
      <c r="E88">
        <f t="shared" si="1"/>
        <v>1</v>
      </c>
      <c r="F88">
        <v>86</v>
      </c>
      <c r="G88">
        <v>6</v>
      </c>
      <c r="H88">
        <v>8</v>
      </c>
      <c r="I88" t="s">
        <v>46</v>
      </c>
      <c r="J88">
        <v>1.0009676999998101</v>
      </c>
      <c r="K88" t="s">
        <v>39</v>
      </c>
      <c r="L88">
        <v>8</v>
      </c>
      <c r="M88">
        <v>6</v>
      </c>
      <c r="N88">
        <v>86</v>
      </c>
      <c r="O88">
        <v>4</v>
      </c>
      <c r="P88">
        <v>92.483432200000607</v>
      </c>
      <c r="R88">
        <v>92.469137100000793</v>
      </c>
      <c r="S88">
        <v>92.483432200000607</v>
      </c>
      <c r="T88">
        <v>92.483432200000607</v>
      </c>
      <c r="U88">
        <v>92.483432200000607</v>
      </c>
      <c r="V88">
        <v>92.983549400000797</v>
      </c>
      <c r="W88">
        <v>93.483391500000806</v>
      </c>
      <c r="X88">
        <v>93.500408000000704</v>
      </c>
      <c r="Y88" t="s">
        <v>46</v>
      </c>
      <c r="Z88">
        <v>1.0009676999998101</v>
      </c>
      <c r="AA88" t="s">
        <v>39</v>
      </c>
      <c r="AB88">
        <v>4</v>
      </c>
      <c r="AC88">
        <v>1</v>
      </c>
      <c r="AD88" t="s">
        <v>40</v>
      </c>
      <c r="AE88" t="s">
        <v>41</v>
      </c>
      <c r="AG88" t="s">
        <v>42</v>
      </c>
      <c r="AH88">
        <v>60.050394290668599</v>
      </c>
      <c r="AI88" t="s">
        <v>43</v>
      </c>
    </row>
    <row r="89" spans="1:35">
      <c r="A89" t="s">
        <v>44</v>
      </c>
      <c r="B89" t="s">
        <v>36</v>
      </c>
      <c r="C89" t="s">
        <v>46</v>
      </c>
      <c r="D89" t="s">
        <v>47</v>
      </c>
      <c r="E89">
        <f t="shared" si="1"/>
        <v>1</v>
      </c>
      <c r="F89">
        <v>87</v>
      </c>
      <c r="G89">
        <v>7</v>
      </c>
      <c r="H89">
        <v>8</v>
      </c>
      <c r="I89" t="s">
        <v>46</v>
      </c>
      <c r="J89">
        <v>1.1564319999997601</v>
      </c>
      <c r="K89" t="s">
        <v>39</v>
      </c>
      <c r="L89">
        <v>8</v>
      </c>
      <c r="M89">
        <v>7</v>
      </c>
      <c r="N89">
        <v>87</v>
      </c>
      <c r="O89">
        <v>5</v>
      </c>
      <c r="P89">
        <v>93.516787800000202</v>
      </c>
      <c r="R89">
        <v>93.501486600000106</v>
      </c>
      <c r="S89">
        <v>93.516787800000202</v>
      </c>
      <c r="T89">
        <v>93.516787800000202</v>
      </c>
      <c r="U89">
        <v>93.516787800000202</v>
      </c>
      <c r="V89">
        <v>94.016372599999997</v>
      </c>
      <c r="W89">
        <v>94.516505999999893</v>
      </c>
      <c r="X89">
        <v>94.683773800000296</v>
      </c>
      <c r="Y89" t="s">
        <v>46</v>
      </c>
      <c r="Z89">
        <v>1.1564319999997601</v>
      </c>
      <c r="AA89" t="s">
        <v>39</v>
      </c>
      <c r="AB89">
        <v>4</v>
      </c>
      <c r="AC89">
        <v>1</v>
      </c>
      <c r="AD89" t="s">
        <v>40</v>
      </c>
      <c r="AE89" t="s">
        <v>41</v>
      </c>
      <c r="AG89" t="s">
        <v>42</v>
      </c>
      <c r="AH89">
        <v>60.050394290668599</v>
      </c>
      <c r="AI89" t="s">
        <v>43</v>
      </c>
    </row>
    <row r="90" spans="1:35">
      <c r="A90" t="s">
        <v>35</v>
      </c>
      <c r="B90" t="s">
        <v>36</v>
      </c>
      <c r="C90" t="s">
        <v>37</v>
      </c>
      <c r="D90" t="s">
        <v>38</v>
      </c>
      <c r="E90">
        <f t="shared" si="1"/>
        <v>1</v>
      </c>
      <c r="F90">
        <v>88</v>
      </c>
      <c r="G90">
        <v>8</v>
      </c>
      <c r="H90">
        <v>8</v>
      </c>
      <c r="I90" t="s">
        <v>37</v>
      </c>
      <c r="J90">
        <v>2.6221642000000398</v>
      </c>
      <c r="K90" t="s">
        <v>39</v>
      </c>
      <c r="L90">
        <v>8</v>
      </c>
      <c r="M90">
        <v>8</v>
      </c>
      <c r="N90">
        <v>88</v>
      </c>
      <c r="O90">
        <v>3</v>
      </c>
      <c r="P90">
        <v>94.699212200000105</v>
      </c>
      <c r="R90">
        <v>94.685013700000098</v>
      </c>
      <c r="S90">
        <v>94.699212200000105</v>
      </c>
      <c r="T90">
        <v>94.699212200000105</v>
      </c>
      <c r="U90">
        <v>94.699212200000105</v>
      </c>
      <c r="V90">
        <v>95.199463300000303</v>
      </c>
      <c r="W90">
        <v>95.699104600000197</v>
      </c>
      <c r="X90">
        <v>97.332253200000196</v>
      </c>
      <c r="Y90" t="s">
        <v>37</v>
      </c>
      <c r="Z90">
        <v>2.6221642000000398</v>
      </c>
      <c r="AA90" t="s">
        <v>39</v>
      </c>
      <c r="AB90">
        <v>4</v>
      </c>
      <c r="AC90">
        <v>1</v>
      </c>
      <c r="AD90" t="s">
        <v>40</v>
      </c>
      <c r="AE90" t="s">
        <v>41</v>
      </c>
      <c r="AG90" t="s">
        <v>42</v>
      </c>
      <c r="AH90">
        <v>60.050394290668599</v>
      </c>
      <c r="AI90" t="s">
        <v>43</v>
      </c>
    </row>
    <row r="91" spans="1:35">
      <c r="A91" t="s">
        <v>35</v>
      </c>
      <c r="B91" t="s">
        <v>45</v>
      </c>
      <c r="C91" t="s">
        <v>37</v>
      </c>
      <c r="D91" t="s">
        <v>47</v>
      </c>
      <c r="E91">
        <f t="shared" si="1"/>
        <v>1</v>
      </c>
      <c r="F91">
        <v>89</v>
      </c>
      <c r="G91">
        <v>9</v>
      </c>
      <c r="H91">
        <v>8</v>
      </c>
      <c r="I91" t="s">
        <v>37</v>
      </c>
      <c r="J91">
        <v>1.3638835000001499</v>
      </c>
      <c r="K91" t="s">
        <v>39</v>
      </c>
      <c r="L91">
        <v>8</v>
      </c>
      <c r="M91">
        <v>9</v>
      </c>
      <c r="N91">
        <v>89</v>
      </c>
      <c r="O91">
        <v>6</v>
      </c>
      <c r="P91">
        <v>97.348329400000694</v>
      </c>
      <c r="R91">
        <v>97.3334686000007</v>
      </c>
      <c r="S91">
        <v>97.348329400000694</v>
      </c>
      <c r="T91">
        <v>97.348329400000694</v>
      </c>
      <c r="U91">
        <v>97.348329400000694</v>
      </c>
      <c r="V91">
        <v>97.848561900000206</v>
      </c>
      <c r="W91">
        <v>98.348130700000098</v>
      </c>
      <c r="X91">
        <v>98.715737800000099</v>
      </c>
      <c r="Y91" t="s">
        <v>37</v>
      </c>
      <c r="Z91">
        <v>1.3638835000001499</v>
      </c>
      <c r="AA91" t="s">
        <v>39</v>
      </c>
      <c r="AB91">
        <v>4</v>
      </c>
      <c r="AC91">
        <v>1</v>
      </c>
      <c r="AD91" t="s">
        <v>40</v>
      </c>
      <c r="AE91" t="s">
        <v>41</v>
      </c>
      <c r="AG91" t="s">
        <v>42</v>
      </c>
      <c r="AH91">
        <v>60.050394290668599</v>
      </c>
      <c r="AI91" t="s">
        <v>43</v>
      </c>
    </row>
    <row r="92" spans="1:35">
      <c r="A92" t="s">
        <v>35</v>
      </c>
      <c r="B92" t="s">
        <v>36</v>
      </c>
      <c r="C92" t="s">
        <v>37</v>
      </c>
      <c r="D92" t="s">
        <v>38</v>
      </c>
      <c r="E92">
        <f t="shared" si="1"/>
        <v>1</v>
      </c>
      <c r="F92">
        <v>90</v>
      </c>
      <c r="G92">
        <v>0</v>
      </c>
      <c r="H92">
        <v>9</v>
      </c>
      <c r="I92" t="s">
        <v>37</v>
      </c>
      <c r="J92">
        <v>0.95168300000022998</v>
      </c>
      <c r="K92" t="s">
        <v>39</v>
      </c>
      <c r="L92">
        <v>9</v>
      </c>
      <c r="M92">
        <v>0</v>
      </c>
      <c r="N92">
        <v>90</v>
      </c>
      <c r="O92">
        <v>7</v>
      </c>
      <c r="P92">
        <v>98.731290000000598</v>
      </c>
      <c r="R92">
        <v>98.717206000000203</v>
      </c>
      <c r="S92">
        <v>98.731290000000598</v>
      </c>
      <c r="T92">
        <v>98.731290000000598</v>
      </c>
      <c r="U92">
        <v>98.731290000000598</v>
      </c>
      <c r="V92">
        <v>99.231230600000302</v>
      </c>
      <c r="X92">
        <v>99.698452600000493</v>
      </c>
      <c r="Y92" t="s">
        <v>37</v>
      </c>
      <c r="Z92">
        <v>0.95168300000022998</v>
      </c>
      <c r="AA92" t="s">
        <v>39</v>
      </c>
      <c r="AB92">
        <v>4</v>
      </c>
      <c r="AC92">
        <v>1</v>
      </c>
      <c r="AD92" t="s">
        <v>40</v>
      </c>
      <c r="AE92" t="s">
        <v>41</v>
      </c>
      <c r="AG92" t="s">
        <v>42</v>
      </c>
      <c r="AH92">
        <v>60.050394290668599</v>
      </c>
      <c r="AI92" t="s">
        <v>43</v>
      </c>
    </row>
    <row r="93" spans="1:35">
      <c r="A93" t="s">
        <v>35</v>
      </c>
      <c r="B93" t="s">
        <v>45</v>
      </c>
      <c r="C93" t="s">
        <v>37</v>
      </c>
      <c r="D93" t="s">
        <v>47</v>
      </c>
      <c r="E93">
        <f t="shared" si="1"/>
        <v>1</v>
      </c>
      <c r="F93">
        <v>91</v>
      </c>
      <c r="G93">
        <v>1</v>
      </c>
      <c r="H93">
        <v>9</v>
      </c>
      <c r="I93" t="s">
        <v>37</v>
      </c>
      <c r="J93">
        <v>0.95837050000045498</v>
      </c>
      <c r="K93" t="s">
        <v>39</v>
      </c>
      <c r="L93">
        <v>9</v>
      </c>
      <c r="M93">
        <v>1</v>
      </c>
      <c r="N93">
        <v>91</v>
      </c>
      <c r="O93">
        <v>6</v>
      </c>
      <c r="P93">
        <v>99.714259300000705</v>
      </c>
      <c r="R93">
        <v>99.699699700000494</v>
      </c>
      <c r="S93">
        <v>99.714259300000705</v>
      </c>
      <c r="T93">
        <v>99.714259300000705</v>
      </c>
      <c r="U93">
        <v>99.714259300000705</v>
      </c>
      <c r="V93">
        <v>100.21456480000001</v>
      </c>
      <c r="X93">
        <v>100.68130379999999</v>
      </c>
      <c r="Y93" t="s">
        <v>37</v>
      </c>
      <c r="Z93">
        <v>0.95837050000045498</v>
      </c>
      <c r="AA93" t="s">
        <v>39</v>
      </c>
      <c r="AB93">
        <v>4</v>
      </c>
      <c r="AC93">
        <v>1</v>
      </c>
      <c r="AD93" t="s">
        <v>40</v>
      </c>
      <c r="AE93" t="s">
        <v>41</v>
      </c>
      <c r="AG93" t="s">
        <v>42</v>
      </c>
      <c r="AH93">
        <v>60.050394290668599</v>
      </c>
      <c r="AI93" t="s">
        <v>43</v>
      </c>
    </row>
    <row r="94" spans="1:35">
      <c r="A94" t="s">
        <v>44</v>
      </c>
      <c r="B94" t="s">
        <v>36</v>
      </c>
      <c r="C94" t="s">
        <v>46</v>
      </c>
      <c r="D94" t="s">
        <v>47</v>
      </c>
      <c r="E94">
        <f t="shared" si="1"/>
        <v>1</v>
      </c>
      <c r="F94">
        <v>92</v>
      </c>
      <c r="G94">
        <v>2</v>
      </c>
      <c r="H94">
        <v>9</v>
      </c>
      <c r="I94" t="s">
        <v>46</v>
      </c>
      <c r="J94">
        <v>0.93017039999995099</v>
      </c>
      <c r="K94" t="s">
        <v>39</v>
      </c>
      <c r="L94">
        <v>9</v>
      </c>
      <c r="M94">
        <v>2</v>
      </c>
      <c r="N94">
        <v>92</v>
      </c>
      <c r="O94">
        <v>5</v>
      </c>
      <c r="P94">
        <v>100.69735639999899</v>
      </c>
      <c r="R94">
        <v>100.6819689</v>
      </c>
      <c r="S94">
        <v>100.69735639999899</v>
      </c>
      <c r="T94">
        <v>100.69735639999899</v>
      </c>
      <c r="U94">
        <v>100.69735639999899</v>
      </c>
      <c r="V94">
        <v>101.19733309999999</v>
      </c>
      <c r="X94">
        <v>101.6315792</v>
      </c>
      <c r="Y94" t="s">
        <v>46</v>
      </c>
      <c r="Z94">
        <v>0.93017039999995099</v>
      </c>
      <c r="AA94" t="s">
        <v>39</v>
      </c>
      <c r="AB94">
        <v>4</v>
      </c>
      <c r="AC94">
        <v>1</v>
      </c>
      <c r="AD94" t="s">
        <v>40</v>
      </c>
      <c r="AE94" t="s">
        <v>41</v>
      </c>
      <c r="AG94" t="s">
        <v>42</v>
      </c>
      <c r="AH94">
        <v>60.050394290668599</v>
      </c>
      <c r="AI94" t="s">
        <v>43</v>
      </c>
    </row>
    <row r="95" spans="1:35">
      <c r="A95" t="s">
        <v>44</v>
      </c>
      <c r="B95" t="s">
        <v>36</v>
      </c>
      <c r="C95" t="s">
        <v>46</v>
      </c>
      <c r="D95" t="s">
        <v>47</v>
      </c>
      <c r="E95">
        <f t="shared" si="1"/>
        <v>1</v>
      </c>
      <c r="F95">
        <v>93</v>
      </c>
      <c r="G95">
        <v>3</v>
      </c>
      <c r="H95">
        <v>9</v>
      </c>
      <c r="I95" t="s">
        <v>46</v>
      </c>
      <c r="J95">
        <v>1.1182616000005501</v>
      </c>
      <c r="K95" t="s">
        <v>39</v>
      </c>
      <c r="L95">
        <v>9</v>
      </c>
      <c r="M95">
        <v>3</v>
      </c>
      <c r="N95">
        <v>93</v>
      </c>
      <c r="O95">
        <v>9</v>
      </c>
      <c r="P95">
        <v>101.6468955</v>
      </c>
      <c r="R95">
        <v>101.6328092</v>
      </c>
      <c r="S95">
        <v>101.6468955</v>
      </c>
      <c r="T95">
        <v>101.6468955</v>
      </c>
      <c r="U95">
        <v>101.6468955</v>
      </c>
      <c r="V95">
        <v>102.1472665</v>
      </c>
      <c r="W95">
        <v>102.646945299999</v>
      </c>
      <c r="X95">
        <v>102.7809798</v>
      </c>
      <c r="Y95" t="s">
        <v>46</v>
      </c>
      <c r="Z95">
        <v>1.1182616000005501</v>
      </c>
      <c r="AA95" t="s">
        <v>39</v>
      </c>
      <c r="AB95">
        <v>4</v>
      </c>
      <c r="AC95">
        <v>1</v>
      </c>
      <c r="AD95" t="s">
        <v>40</v>
      </c>
      <c r="AE95" t="s">
        <v>41</v>
      </c>
      <c r="AG95" t="s">
        <v>42</v>
      </c>
      <c r="AH95">
        <v>60.050394290668599</v>
      </c>
      <c r="AI95" t="s">
        <v>43</v>
      </c>
    </row>
    <row r="96" spans="1:35">
      <c r="A96" t="s">
        <v>44</v>
      </c>
      <c r="B96" t="s">
        <v>45</v>
      </c>
      <c r="C96" t="s">
        <v>46</v>
      </c>
      <c r="D96" t="s">
        <v>38</v>
      </c>
      <c r="E96">
        <f t="shared" si="1"/>
        <v>1</v>
      </c>
      <c r="F96">
        <v>94</v>
      </c>
      <c r="G96">
        <v>4</v>
      </c>
      <c r="H96">
        <v>9</v>
      </c>
      <c r="I96" t="s">
        <v>46</v>
      </c>
      <c r="J96">
        <v>1.9186036000000899</v>
      </c>
      <c r="K96" t="s">
        <v>39</v>
      </c>
      <c r="L96">
        <v>9</v>
      </c>
      <c r="M96">
        <v>4</v>
      </c>
      <c r="N96">
        <v>94</v>
      </c>
      <c r="O96">
        <v>8</v>
      </c>
      <c r="P96">
        <v>102.7966606</v>
      </c>
      <c r="R96">
        <v>102.7822051</v>
      </c>
      <c r="S96">
        <v>102.7966606</v>
      </c>
      <c r="T96">
        <v>102.7966606</v>
      </c>
      <c r="U96">
        <v>102.7966606</v>
      </c>
      <c r="V96">
        <v>103.296690099999</v>
      </c>
      <c r="W96">
        <v>103.7965355</v>
      </c>
      <c r="X96">
        <v>104.730194</v>
      </c>
      <c r="Y96" t="s">
        <v>46</v>
      </c>
      <c r="Z96">
        <v>1.9186036000000899</v>
      </c>
      <c r="AA96" t="s">
        <v>39</v>
      </c>
      <c r="AB96">
        <v>4</v>
      </c>
      <c r="AC96">
        <v>1</v>
      </c>
      <c r="AD96" t="s">
        <v>40</v>
      </c>
      <c r="AE96" t="s">
        <v>41</v>
      </c>
      <c r="AG96" t="s">
        <v>42</v>
      </c>
      <c r="AH96">
        <v>60.050394290668599</v>
      </c>
      <c r="AI96" t="s">
        <v>43</v>
      </c>
    </row>
    <row r="97" spans="1:35">
      <c r="A97" t="s">
        <v>35</v>
      </c>
      <c r="B97" t="s">
        <v>45</v>
      </c>
      <c r="C97" t="s">
        <v>37</v>
      </c>
      <c r="D97" t="s">
        <v>47</v>
      </c>
      <c r="E97">
        <f t="shared" si="1"/>
        <v>1</v>
      </c>
      <c r="F97">
        <v>95</v>
      </c>
      <c r="G97">
        <v>5</v>
      </c>
      <c r="H97">
        <v>9</v>
      </c>
      <c r="I97" t="s">
        <v>37</v>
      </c>
      <c r="J97">
        <v>1.12410420000014</v>
      </c>
      <c r="K97" t="s">
        <v>39</v>
      </c>
      <c r="L97">
        <v>9</v>
      </c>
      <c r="M97">
        <v>5</v>
      </c>
      <c r="N97">
        <v>95</v>
      </c>
      <c r="O97">
        <v>2</v>
      </c>
      <c r="P97">
        <v>104.74588749999999</v>
      </c>
      <c r="R97">
        <v>104.7313809</v>
      </c>
      <c r="S97">
        <v>104.74588749999999</v>
      </c>
      <c r="T97">
        <v>104.74588749999999</v>
      </c>
      <c r="U97">
        <v>104.74588749999999</v>
      </c>
      <c r="V97">
        <v>105.2458555</v>
      </c>
      <c r="W97">
        <v>105.7456299</v>
      </c>
      <c r="X97">
        <v>105.8800249</v>
      </c>
      <c r="Y97" t="s">
        <v>37</v>
      </c>
      <c r="Z97">
        <v>1.12410420000014</v>
      </c>
      <c r="AA97" t="s">
        <v>39</v>
      </c>
      <c r="AB97">
        <v>4</v>
      </c>
      <c r="AC97">
        <v>1</v>
      </c>
      <c r="AD97" t="s">
        <v>40</v>
      </c>
      <c r="AE97" t="s">
        <v>41</v>
      </c>
      <c r="AG97" t="s">
        <v>42</v>
      </c>
      <c r="AH97">
        <v>60.050394290668599</v>
      </c>
      <c r="AI97" t="s">
        <v>43</v>
      </c>
    </row>
    <row r="98" spans="1:35">
      <c r="A98" t="s">
        <v>35</v>
      </c>
      <c r="B98" t="s">
        <v>36</v>
      </c>
      <c r="C98" t="s">
        <v>37</v>
      </c>
      <c r="D98" t="s">
        <v>38</v>
      </c>
      <c r="E98">
        <f t="shared" si="1"/>
        <v>1</v>
      </c>
      <c r="F98">
        <v>96</v>
      </c>
      <c r="G98">
        <v>6</v>
      </c>
      <c r="H98">
        <v>9</v>
      </c>
      <c r="I98" t="s">
        <v>37</v>
      </c>
      <c r="J98">
        <v>2.72276549999969</v>
      </c>
      <c r="K98" t="s">
        <v>39</v>
      </c>
      <c r="L98">
        <v>9</v>
      </c>
      <c r="M98">
        <v>6</v>
      </c>
      <c r="N98">
        <v>96</v>
      </c>
      <c r="O98">
        <v>3</v>
      </c>
      <c r="P98">
        <v>105.8954696</v>
      </c>
      <c r="R98">
        <v>105.8812362</v>
      </c>
      <c r="S98">
        <v>105.8954696</v>
      </c>
      <c r="T98">
        <v>105.8954696</v>
      </c>
      <c r="U98">
        <v>105.8954696</v>
      </c>
      <c r="V98">
        <v>106.395577</v>
      </c>
      <c r="W98">
        <v>106.8955766</v>
      </c>
      <c r="X98">
        <v>108.62851499999999</v>
      </c>
      <c r="Y98" t="s">
        <v>37</v>
      </c>
      <c r="Z98">
        <v>2.72276549999969</v>
      </c>
      <c r="AA98" t="s">
        <v>39</v>
      </c>
      <c r="AB98">
        <v>4</v>
      </c>
      <c r="AC98">
        <v>1</v>
      </c>
      <c r="AD98" t="s">
        <v>40</v>
      </c>
      <c r="AE98" t="s">
        <v>41</v>
      </c>
      <c r="AG98" t="s">
        <v>42</v>
      </c>
      <c r="AH98">
        <v>60.050394290668599</v>
      </c>
      <c r="AI98" t="s">
        <v>43</v>
      </c>
    </row>
    <row r="99" spans="1:35">
      <c r="A99" t="s">
        <v>44</v>
      </c>
      <c r="B99" t="s">
        <v>36</v>
      </c>
      <c r="C99" t="s">
        <v>46</v>
      </c>
      <c r="D99" t="s">
        <v>47</v>
      </c>
      <c r="E99">
        <f t="shared" si="1"/>
        <v>1</v>
      </c>
      <c r="F99">
        <v>97</v>
      </c>
      <c r="G99">
        <v>7</v>
      </c>
      <c r="H99">
        <v>9</v>
      </c>
      <c r="I99" t="s">
        <v>46</v>
      </c>
      <c r="J99">
        <v>0.91683390000070997</v>
      </c>
      <c r="K99" t="s">
        <v>39</v>
      </c>
      <c r="L99">
        <v>9</v>
      </c>
      <c r="M99">
        <v>7</v>
      </c>
      <c r="N99">
        <v>97</v>
      </c>
      <c r="O99">
        <v>1</v>
      </c>
      <c r="P99">
        <v>108.644407</v>
      </c>
      <c r="R99">
        <v>108.629632</v>
      </c>
      <c r="S99">
        <v>108.644407</v>
      </c>
      <c r="T99">
        <v>108.644407</v>
      </c>
      <c r="U99">
        <v>108.644407</v>
      </c>
      <c r="V99">
        <v>109.14477729999901</v>
      </c>
      <c r="X99">
        <v>109.5785803</v>
      </c>
      <c r="Y99" t="s">
        <v>46</v>
      </c>
      <c r="Z99">
        <v>0.91683390000070997</v>
      </c>
      <c r="AA99" t="s">
        <v>39</v>
      </c>
      <c r="AB99">
        <v>4</v>
      </c>
      <c r="AC99">
        <v>1</v>
      </c>
      <c r="AD99" t="s">
        <v>40</v>
      </c>
      <c r="AE99" t="s">
        <v>41</v>
      </c>
      <c r="AG99" t="s">
        <v>42</v>
      </c>
      <c r="AH99">
        <v>60.050394290668599</v>
      </c>
      <c r="AI99" t="s">
        <v>43</v>
      </c>
    </row>
    <row r="100" spans="1:35">
      <c r="A100" t="s">
        <v>44</v>
      </c>
      <c r="B100" t="s">
        <v>45</v>
      </c>
      <c r="C100" t="s">
        <v>46</v>
      </c>
      <c r="D100" t="s">
        <v>38</v>
      </c>
      <c r="E100">
        <f t="shared" si="1"/>
        <v>1</v>
      </c>
      <c r="F100">
        <v>98</v>
      </c>
      <c r="G100">
        <v>8</v>
      </c>
      <c r="H100">
        <v>9</v>
      </c>
      <c r="I100" t="s">
        <v>46</v>
      </c>
      <c r="J100">
        <v>0.96265809999931595</v>
      </c>
      <c r="K100" t="s">
        <v>39</v>
      </c>
      <c r="L100">
        <v>9</v>
      </c>
      <c r="M100">
        <v>8</v>
      </c>
      <c r="N100">
        <v>98</v>
      </c>
      <c r="O100">
        <v>0</v>
      </c>
      <c r="P100">
        <v>109.59435999999999</v>
      </c>
      <c r="R100">
        <v>109.5801409</v>
      </c>
      <c r="S100">
        <v>109.59435999999999</v>
      </c>
      <c r="T100">
        <v>109.59435999999999</v>
      </c>
      <c r="U100">
        <v>109.59435999999999</v>
      </c>
      <c r="V100">
        <v>110.0944162</v>
      </c>
      <c r="X100">
        <v>110.5615914</v>
      </c>
      <c r="Y100" t="s">
        <v>46</v>
      </c>
      <c r="Z100">
        <v>0.96265809999931595</v>
      </c>
      <c r="AA100" t="s">
        <v>39</v>
      </c>
      <c r="AB100">
        <v>4</v>
      </c>
      <c r="AC100">
        <v>1</v>
      </c>
      <c r="AD100" t="s">
        <v>40</v>
      </c>
      <c r="AE100" t="s">
        <v>41</v>
      </c>
      <c r="AG100" t="s">
        <v>42</v>
      </c>
      <c r="AH100">
        <v>60.050394290668599</v>
      </c>
      <c r="AI100" t="s">
        <v>43</v>
      </c>
    </row>
    <row r="101" spans="1:35">
      <c r="A101" t="s">
        <v>44</v>
      </c>
      <c r="B101" t="s">
        <v>45</v>
      </c>
      <c r="C101" t="s">
        <v>46</v>
      </c>
      <c r="D101" t="s">
        <v>38</v>
      </c>
      <c r="E101">
        <f t="shared" si="1"/>
        <v>1</v>
      </c>
      <c r="F101">
        <v>99</v>
      </c>
      <c r="G101">
        <v>9</v>
      </c>
      <c r="H101">
        <v>9</v>
      </c>
      <c r="I101" t="s">
        <v>46</v>
      </c>
      <c r="J101">
        <v>0.992351900000358</v>
      </c>
      <c r="K101" t="s">
        <v>39</v>
      </c>
      <c r="L101">
        <v>9</v>
      </c>
      <c r="M101">
        <v>9</v>
      </c>
      <c r="N101">
        <v>99</v>
      </c>
      <c r="O101">
        <v>4</v>
      </c>
      <c r="P101">
        <v>110.577714</v>
      </c>
      <c r="R101">
        <v>110.5628002</v>
      </c>
      <c r="S101">
        <v>110.577714</v>
      </c>
      <c r="T101">
        <v>110.577714</v>
      </c>
      <c r="U101">
        <v>110.577714</v>
      </c>
      <c r="V101">
        <v>111.07743170000001</v>
      </c>
      <c r="W101">
        <v>111.57722649999999</v>
      </c>
      <c r="X101">
        <v>111.5780331</v>
      </c>
      <c r="Y101" t="s">
        <v>46</v>
      </c>
      <c r="Z101">
        <v>0.992351900000358</v>
      </c>
      <c r="AA101" t="s">
        <v>39</v>
      </c>
      <c r="AB101">
        <v>4</v>
      </c>
      <c r="AC101">
        <v>1</v>
      </c>
      <c r="AD101" t="s">
        <v>40</v>
      </c>
      <c r="AE101" t="s">
        <v>41</v>
      </c>
      <c r="AG101" t="s">
        <v>42</v>
      </c>
      <c r="AH101">
        <v>60.050394290668599</v>
      </c>
      <c r="AI101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9F535-5F0B-4AFC-BB8E-0FD066333B7D}">
  <sheetPr filterMode="1"/>
  <dimension ref="A1:L104"/>
  <sheetViews>
    <sheetView tabSelected="1" topLeftCell="B46" workbookViewId="0">
      <selection activeCell="R104" sqref="R104"/>
    </sheetView>
  </sheetViews>
  <sheetFormatPr defaultRowHeight="15"/>
  <cols>
    <col min="3" max="3" width="11.28515625" customWidth="1"/>
    <col min="5" max="5" width="11.5703125" customWidth="1"/>
    <col min="7" max="7" width="13.28515625" customWidth="1"/>
    <col min="9" max="9" width="14.140625" bestFit="1" customWidth="1"/>
    <col min="10" max="10" width="10.28515625" bestFit="1" customWidth="1"/>
    <col min="11" max="11" width="14.140625" bestFit="1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9</v>
      </c>
      <c r="G1" s="1" t="s">
        <v>4</v>
      </c>
    </row>
    <row r="2" spans="1:7" hidden="1">
      <c r="A2" t="s">
        <v>35</v>
      </c>
      <c r="B2" t="s">
        <v>36</v>
      </c>
      <c r="C2" t="s">
        <v>37</v>
      </c>
      <c r="D2" t="s">
        <v>38</v>
      </c>
      <c r="E2" t="s">
        <v>37</v>
      </c>
      <c r="F2">
        <v>2.0105131000000198</v>
      </c>
      <c r="G2">
        <v>1</v>
      </c>
    </row>
    <row r="3" spans="1:7" hidden="1">
      <c r="A3" t="s">
        <v>44</v>
      </c>
      <c r="B3" t="s">
        <v>45</v>
      </c>
      <c r="C3" t="s">
        <v>46</v>
      </c>
      <c r="D3" t="s">
        <v>38</v>
      </c>
      <c r="E3" t="s">
        <v>46</v>
      </c>
      <c r="F3">
        <v>0.67036929999994699</v>
      </c>
      <c r="G3">
        <v>1</v>
      </c>
    </row>
    <row r="4" spans="1:7">
      <c r="A4" t="s">
        <v>35</v>
      </c>
      <c r="B4" t="s">
        <v>45</v>
      </c>
      <c r="C4" t="s">
        <v>37</v>
      </c>
      <c r="D4" t="s">
        <v>47</v>
      </c>
      <c r="E4" t="s">
        <v>37</v>
      </c>
      <c r="F4">
        <v>0.79587030000038705</v>
      </c>
      <c r="G4">
        <v>1</v>
      </c>
    </row>
    <row r="5" spans="1:7">
      <c r="A5" t="s">
        <v>35</v>
      </c>
      <c r="B5" t="s">
        <v>45</v>
      </c>
      <c r="C5" t="s">
        <v>37</v>
      </c>
      <c r="D5" t="s">
        <v>47</v>
      </c>
      <c r="E5" t="s">
        <v>37</v>
      </c>
      <c r="F5">
        <v>0.86755989999983196</v>
      </c>
      <c r="G5">
        <v>1</v>
      </c>
    </row>
    <row r="6" spans="1:7">
      <c r="A6" t="s">
        <v>44</v>
      </c>
      <c r="B6" t="s">
        <v>36</v>
      </c>
      <c r="C6" t="s">
        <v>46</v>
      </c>
      <c r="D6" t="s">
        <v>47</v>
      </c>
      <c r="E6" t="s">
        <v>46</v>
      </c>
      <c r="F6">
        <v>0.80673810000007495</v>
      </c>
      <c r="G6">
        <v>1</v>
      </c>
    </row>
    <row r="7" spans="1:7">
      <c r="A7" t="s">
        <v>44</v>
      </c>
      <c r="B7" t="s">
        <v>36</v>
      </c>
      <c r="C7" t="s">
        <v>46</v>
      </c>
      <c r="D7" t="s">
        <v>47</v>
      </c>
      <c r="E7" t="s">
        <v>46</v>
      </c>
      <c r="F7">
        <v>0.89729010000064502</v>
      </c>
      <c r="G7">
        <v>1</v>
      </c>
    </row>
    <row r="8" spans="1:7" hidden="1">
      <c r="A8" t="s">
        <v>35</v>
      </c>
      <c r="B8" t="s">
        <v>36</v>
      </c>
      <c r="C8" t="s">
        <v>37</v>
      </c>
      <c r="D8" t="s">
        <v>38</v>
      </c>
      <c r="E8" t="s">
        <v>37</v>
      </c>
      <c r="F8">
        <v>0.77167970000027697</v>
      </c>
      <c r="G8">
        <v>1</v>
      </c>
    </row>
    <row r="9" spans="1:7" hidden="1">
      <c r="A9" t="s">
        <v>44</v>
      </c>
      <c r="B9" t="s">
        <v>45</v>
      </c>
      <c r="C9" t="s">
        <v>46</v>
      </c>
      <c r="D9" t="s">
        <v>38</v>
      </c>
      <c r="E9" t="s">
        <v>46</v>
      </c>
      <c r="F9">
        <v>0.86243829999966604</v>
      </c>
      <c r="G9">
        <v>1</v>
      </c>
    </row>
    <row r="10" spans="1:7">
      <c r="A10" t="s">
        <v>44</v>
      </c>
      <c r="B10" t="s">
        <v>36</v>
      </c>
      <c r="C10" t="s">
        <v>46</v>
      </c>
      <c r="D10" t="s">
        <v>47</v>
      </c>
      <c r="E10" t="s">
        <v>46</v>
      </c>
      <c r="F10">
        <v>1.1747338000004599</v>
      </c>
      <c r="G10">
        <v>1</v>
      </c>
    </row>
    <row r="11" spans="1:7" hidden="1">
      <c r="A11" t="s">
        <v>44</v>
      </c>
      <c r="B11" t="s">
        <v>45</v>
      </c>
      <c r="C11" t="s">
        <v>46</v>
      </c>
      <c r="D11" t="s">
        <v>38</v>
      </c>
      <c r="E11" t="s">
        <v>46</v>
      </c>
      <c r="F11">
        <v>0.975605399999949</v>
      </c>
      <c r="G11">
        <v>1</v>
      </c>
    </row>
    <row r="12" spans="1:7" hidden="1">
      <c r="A12" t="s">
        <v>35</v>
      </c>
      <c r="B12" t="s">
        <v>36</v>
      </c>
      <c r="C12" t="s">
        <v>37</v>
      </c>
      <c r="D12" t="s">
        <v>38</v>
      </c>
      <c r="E12" t="s">
        <v>37</v>
      </c>
      <c r="F12">
        <v>0.81135180000001095</v>
      </c>
      <c r="G12">
        <v>1</v>
      </c>
    </row>
    <row r="13" spans="1:7">
      <c r="A13" t="s">
        <v>44</v>
      </c>
      <c r="B13" t="s">
        <v>36</v>
      </c>
      <c r="C13" t="s">
        <v>46</v>
      </c>
      <c r="D13" t="s">
        <v>47</v>
      </c>
      <c r="E13" t="s">
        <v>46</v>
      </c>
      <c r="F13">
        <v>0.81591870000011102</v>
      </c>
      <c r="G13">
        <v>1</v>
      </c>
    </row>
    <row r="14" spans="1:7" hidden="1">
      <c r="A14" t="s">
        <v>44</v>
      </c>
      <c r="B14" t="s">
        <v>45</v>
      </c>
      <c r="C14" t="s">
        <v>46</v>
      </c>
      <c r="D14" t="s">
        <v>38</v>
      </c>
      <c r="E14" t="s">
        <v>46</v>
      </c>
      <c r="F14">
        <v>0.87148929999966596</v>
      </c>
      <c r="G14">
        <v>1</v>
      </c>
    </row>
    <row r="15" spans="1:7" hidden="1">
      <c r="A15" t="s">
        <v>35</v>
      </c>
      <c r="B15" t="s">
        <v>36</v>
      </c>
      <c r="C15" t="s">
        <v>37</v>
      </c>
      <c r="D15" t="s">
        <v>38</v>
      </c>
      <c r="E15" t="s">
        <v>37</v>
      </c>
      <c r="F15">
        <v>0.93524989999968899</v>
      </c>
      <c r="G15">
        <v>1</v>
      </c>
    </row>
    <row r="16" spans="1:7">
      <c r="A16" t="s">
        <v>44</v>
      </c>
      <c r="B16" t="s">
        <v>36</v>
      </c>
      <c r="C16" t="s">
        <v>46</v>
      </c>
      <c r="D16" t="s">
        <v>47</v>
      </c>
      <c r="E16" t="s">
        <v>46</v>
      </c>
      <c r="F16">
        <v>1.0231792000004101</v>
      </c>
      <c r="G16">
        <v>1</v>
      </c>
    </row>
    <row r="17" spans="1:7">
      <c r="A17" t="s">
        <v>35</v>
      </c>
      <c r="B17" t="s">
        <v>45</v>
      </c>
      <c r="C17" t="s">
        <v>37</v>
      </c>
      <c r="D17" t="s">
        <v>47</v>
      </c>
      <c r="E17" t="s">
        <v>37</v>
      </c>
      <c r="F17">
        <v>0.88963639999929001</v>
      </c>
      <c r="G17">
        <v>1</v>
      </c>
    </row>
    <row r="18" spans="1:7">
      <c r="A18" t="s">
        <v>35</v>
      </c>
      <c r="B18" t="s">
        <v>45</v>
      </c>
      <c r="C18" t="s">
        <v>37</v>
      </c>
      <c r="D18" t="s">
        <v>47</v>
      </c>
      <c r="E18" t="s">
        <v>37</v>
      </c>
      <c r="F18">
        <v>0.77399669999977005</v>
      </c>
      <c r="G18">
        <v>1</v>
      </c>
    </row>
    <row r="19" spans="1:7">
      <c r="A19" t="s">
        <v>44</v>
      </c>
      <c r="B19" t="s">
        <v>36</v>
      </c>
      <c r="C19" t="s">
        <v>46</v>
      </c>
      <c r="D19" t="s">
        <v>47</v>
      </c>
      <c r="E19" t="s">
        <v>46</v>
      </c>
      <c r="F19">
        <v>0.85021710000000805</v>
      </c>
      <c r="G19">
        <v>1</v>
      </c>
    </row>
    <row r="20" spans="1:7" hidden="1">
      <c r="A20" t="s">
        <v>44</v>
      </c>
      <c r="B20" t="s">
        <v>45</v>
      </c>
      <c r="C20" t="s">
        <v>46</v>
      </c>
      <c r="D20" t="s">
        <v>38</v>
      </c>
      <c r="E20" t="s">
        <v>46</v>
      </c>
      <c r="F20">
        <v>0.95855619999929298</v>
      </c>
      <c r="G20">
        <v>1</v>
      </c>
    </row>
    <row r="21" spans="1:7" hidden="1">
      <c r="A21" t="s">
        <v>44</v>
      </c>
      <c r="B21" t="s">
        <v>45</v>
      </c>
      <c r="C21" t="s">
        <v>46</v>
      </c>
      <c r="D21" t="s">
        <v>38</v>
      </c>
      <c r="E21" t="s">
        <v>46</v>
      </c>
      <c r="F21">
        <v>0.97827970000071196</v>
      </c>
      <c r="G21">
        <v>1</v>
      </c>
    </row>
    <row r="22" spans="1:7" hidden="1">
      <c r="A22" t="s">
        <v>44</v>
      </c>
      <c r="B22" t="s">
        <v>45</v>
      </c>
      <c r="C22" t="s">
        <v>46</v>
      </c>
      <c r="D22" t="s">
        <v>38</v>
      </c>
      <c r="E22" t="s">
        <v>46</v>
      </c>
      <c r="F22">
        <v>1.2826975999996599</v>
      </c>
      <c r="G22">
        <v>1</v>
      </c>
    </row>
    <row r="23" spans="1:7" hidden="1">
      <c r="A23" t="s">
        <v>35</v>
      </c>
      <c r="B23" t="s">
        <v>36</v>
      </c>
      <c r="C23" t="s">
        <v>37</v>
      </c>
      <c r="D23" t="s">
        <v>38</v>
      </c>
      <c r="E23" t="s">
        <v>37</v>
      </c>
      <c r="F23">
        <v>0.86749009999948601</v>
      </c>
      <c r="G23">
        <v>1</v>
      </c>
    </row>
    <row r="24" spans="1:7" hidden="1">
      <c r="A24" t="s">
        <v>44</v>
      </c>
      <c r="B24" t="s">
        <v>45</v>
      </c>
      <c r="C24" t="s">
        <v>46</v>
      </c>
      <c r="D24" t="s">
        <v>38</v>
      </c>
      <c r="E24" t="s">
        <v>46</v>
      </c>
      <c r="F24">
        <v>0.91683639999973798</v>
      </c>
      <c r="G24">
        <v>1</v>
      </c>
    </row>
    <row r="25" spans="1:7" hidden="1">
      <c r="A25" t="s">
        <v>35</v>
      </c>
      <c r="B25" t="s">
        <v>36</v>
      </c>
      <c r="C25" t="s">
        <v>37</v>
      </c>
      <c r="D25" t="s">
        <v>38</v>
      </c>
      <c r="E25" t="s">
        <v>37</v>
      </c>
      <c r="F25">
        <v>1.0262086000002399</v>
      </c>
      <c r="G25">
        <v>1</v>
      </c>
    </row>
    <row r="26" spans="1:7">
      <c r="A26" t="s">
        <v>35</v>
      </c>
      <c r="B26" t="s">
        <v>45</v>
      </c>
      <c r="C26" t="s">
        <v>37</v>
      </c>
      <c r="D26" t="s">
        <v>47</v>
      </c>
      <c r="E26" t="s">
        <v>37</v>
      </c>
      <c r="F26">
        <v>0.92264640000030296</v>
      </c>
      <c r="G26">
        <v>1</v>
      </c>
    </row>
    <row r="27" spans="1:7">
      <c r="A27" t="s">
        <v>44</v>
      </c>
      <c r="B27" t="s">
        <v>36</v>
      </c>
      <c r="C27" t="s">
        <v>46</v>
      </c>
      <c r="D27" t="s">
        <v>47</v>
      </c>
      <c r="E27" t="s">
        <v>46</v>
      </c>
      <c r="F27">
        <v>0.874209700000392</v>
      </c>
      <c r="G27">
        <v>1</v>
      </c>
    </row>
    <row r="28" spans="1:7">
      <c r="A28" t="s">
        <v>44</v>
      </c>
      <c r="B28" t="s">
        <v>36</v>
      </c>
      <c r="C28" t="s">
        <v>46</v>
      </c>
      <c r="D28" t="s">
        <v>47</v>
      </c>
      <c r="E28" t="s">
        <v>46</v>
      </c>
      <c r="F28">
        <v>1.01274780000039</v>
      </c>
      <c r="G28">
        <v>1</v>
      </c>
    </row>
    <row r="29" spans="1:7">
      <c r="A29" t="s">
        <v>35</v>
      </c>
      <c r="B29" t="s">
        <v>45</v>
      </c>
      <c r="C29" t="s">
        <v>37</v>
      </c>
      <c r="D29" t="s">
        <v>47</v>
      </c>
      <c r="E29" t="s">
        <v>37</v>
      </c>
      <c r="F29">
        <v>0.84439699999984397</v>
      </c>
      <c r="G29">
        <v>1</v>
      </c>
    </row>
    <row r="30" spans="1:7">
      <c r="A30" t="s">
        <v>44</v>
      </c>
      <c r="B30" t="s">
        <v>36</v>
      </c>
      <c r="C30" t="s">
        <v>46</v>
      </c>
      <c r="D30" t="s">
        <v>47</v>
      </c>
      <c r="E30" t="s">
        <v>46</v>
      </c>
      <c r="F30">
        <v>0.88536530000055702</v>
      </c>
      <c r="G30">
        <v>1</v>
      </c>
    </row>
    <row r="31" spans="1:7" hidden="1">
      <c r="A31" t="s">
        <v>44</v>
      </c>
      <c r="B31" t="s">
        <v>45</v>
      </c>
      <c r="C31" t="s">
        <v>46</v>
      </c>
      <c r="D31" t="s">
        <v>38</v>
      </c>
      <c r="E31" t="s">
        <v>46</v>
      </c>
      <c r="F31">
        <v>0.96971729999950096</v>
      </c>
      <c r="G31">
        <v>1</v>
      </c>
    </row>
    <row r="32" spans="1:7">
      <c r="A32" t="s">
        <v>35</v>
      </c>
      <c r="B32" t="s">
        <v>45</v>
      </c>
      <c r="C32" t="s">
        <v>37</v>
      </c>
      <c r="D32" t="s">
        <v>47</v>
      </c>
      <c r="E32" t="s">
        <v>37</v>
      </c>
      <c r="F32">
        <v>1.06764359999942</v>
      </c>
      <c r="G32">
        <v>1</v>
      </c>
    </row>
    <row r="33" spans="1:7" hidden="1">
      <c r="A33" t="s">
        <v>35</v>
      </c>
      <c r="B33" t="s">
        <v>36</v>
      </c>
      <c r="C33" t="s">
        <v>37</v>
      </c>
      <c r="D33" t="s">
        <v>38</v>
      </c>
      <c r="E33" t="s">
        <v>37</v>
      </c>
      <c r="F33">
        <v>0.95860209999955204</v>
      </c>
      <c r="G33">
        <v>1</v>
      </c>
    </row>
    <row r="34" spans="1:7">
      <c r="A34" t="s">
        <v>44</v>
      </c>
      <c r="B34" t="s">
        <v>36</v>
      </c>
      <c r="C34" t="s">
        <v>46</v>
      </c>
      <c r="D34" t="s">
        <v>47</v>
      </c>
      <c r="E34" t="s">
        <v>46</v>
      </c>
      <c r="F34">
        <v>0.93240049999985697</v>
      </c>
      <c r="G34">
        <v>1</v>
      </c>
    </row>
    <row r="35" spans="1:7" hidden="1">
      <c r="A35" t="s">
        <v>44</v>
      </c>
      <c r="B35" t="s">
        <v>45</v>
      </c>
      <c r="C35" t="s">
        <v>46</v>
      </c>
      <c r="D35" t="s">
        <v>38</v>
      </c>
      <c r="E35" t="s">
        <v>46</v>
      </c>
      <c r="F35">
        <v>0.90204959999937195</v>
      </c>
      <c r="G35">
        <v>1</v>
      </c>
    </row>
    <row r="36" spans="1:7">
      <c r="A36" t="s">
        <v>44</v>
      </c>
      <c r="B36" t="s">
        <v>36</v>
      </c>
      <c r="C36" t="s">
        <v>46</v>
      </c>
      <c r="D36" t="s">
        <v>47</v>
      </c>
      <c r="E36" t="s">
        <v>46</v>
      </c>
      <c r="F36">
        <v>1.0215604999993899</v>
      </c>
      <c r="G36">
        <v>1</v>
      </c>
    </row>
    <row r="37" spans="1:7">
      <c r="A37" t="s">
        <v>44</v>
      </c>
      <c r="B37" t="s">
        <v>36</v>
      </c>
      <c r="C37" t="s">
        <v>46</v>
      </c>
      <c r="D37" t="s">
        <v>47</v>
      </c>
      <c r="E37" t="s">
        <v>46</v>
      </c>
      <c r="F37">
        <v>0.968757099999493</v>
      </c>
      <c r="G37">
        <v>1</v>
      </c>
    </row>
    <row r="38" spans="1:7" hidden="1">
      <c r="A38" t="s">
        <v>44</v>
      </c>
      <c r="B38" t="s">
        <v>45</v>
      </c>
      <c r="C38" t="s">
        <v>46</v>
      </c>
      <c r="D38" t="s">
        <v>38</v>
      </c>
      <c r="E38" t="s">
        <v>46</v>
      </c>
      <c r="F38">
        <v>1.1490077999996999</v>
      </c>
      <c r="G38">
        <v>1</v>
      </c>
    </row>
    <row r="39" spans="1:7" hidden="1">
      <c r="A39" t="s">
        <v>35</v>
      </c>
      <c r="B39" t="s">
        <v>36</v>
      </c>
      <c r="C39" t="s">
        <v>37</v>
      </c>
      <c r="D39" t="s">
        <v>38</v>
      </c>
      <c r="E39" t="s">
        <v>37</v>
      </c>
      <c r="F39">
        <v>0.83372950000011703</v>
      </c>
      <c r="G39">
        <v>1</v>
      </c>
    </row>
    <row r="40" spans="1:7">
      <c r="A40" t="s">
        <v>35</v>
      </c>
      <c r="B40" t="s">
        <v>45</v>
      </c>
      <c r="C40" t="s">
        <v>37</v>
      </c>
      <c r="D40" t="s">
        <v>47</v>
      </c>
      <c r="E40" t="s">
        <v>37</v>
      </c>
      <c r="F40">
        <v>0.88529669999934402</v>
      </c>
      <c r="G40">
        <v>1</v>
      </c>
    </row>
    <row r="41" spans="1:7" hidden="1">
      <c r="A41" t="s">
        <v>44</v>
      </c>
      <c r="B41" t="s">
        <v>45</v>
      </c>
      <c r="C41" t="s">
        <v>46</v>
      </c>
      <c r="D41" t="s">
        <v>38</v>
      </c>
      <c r="E41" t="s">
        <v>46</v>
      </c>
      <c r="F41">
        <v>1.2720807000005101</v>
      </c>
      <c r="G41">
        <v>1</v>
      </c>
    </row>
    <row r="42" spans="1:7">
      <c r="A42" t="s">
        <v>44</v>
      </c>
      <c r="B42" t="s">
        <v>36</v>
      </c>
      <c r="C42" t="s">
        <v>46</v>
      </c>
      <c r="D42" t="s">
        <v>47</v>
      </c>
      <c r="E42" t="s">
        <v>46</v>
      </c>
      <c r="F42">
        <v>1.19777189999967</v>
      </c>
      <c r="G42">
        <v>1</v>
      </c>
    </row>
    <row r="43" spans="1:7" hidden="1">
      <c r="A43" t="s">
        <v>35</v>
      </c>
      <c r="B43" t="s">
        <v>36</v>
      </c>
      <c r="C43" t="s">
        <v>37</v>
      </c>
      <c r="D43" t="s">
        <v>38</v>
      </c>
      <c r="E43" t="s">
        <v>37</v>
      </c>
      <c r="F43">
        <v>0.994756099999904</v>
      </c>
      <c r="G43">
        <v>1</v>
      </c>
    </row>
    <row r="44" spans="1:7" hidden="1">
      <c r="A44" t="s">
        <v>35</v>
      </c>
      <c r="B44" t="s">
        <v>36</v>
      </c>
      <c r="C44" t="s">
        <v>37</v>
      </c>
      <c r="D44" t="s">
        <v>38</v>
      </c>
      <c r="E44" t="s">
        <v>37</v>
      </c>
      <c r="F44">
        <v>1.92074719999982</v>
      </c>
      <c r="G44">
        <v>1</v>
      </c>
    </row>
    <row r="45" spans="1:7">
      <c r="A45" t="s">
        <v>35</v>
      </c>
      <c r="B45" t="s">
        <v>45</v>
      </c>
      <c r="C45" t="s">
        <v>37</v>
      </c>
      <c r="D45" t="s">
        <v>47</v>
      </c>
      <c r="E45" t="s">
        <v>37</v>
      </c>
      <c r="F45">
        <v>0.93529190000026496</v>
      </c>
      <c r="G45">
        <v>1</v>
      </c>
    </row>
    <row r="46" spans="1:7">
      <c r="A46" t="s">
        <v>35</v>
      </c>
      <c r="B46" t="s">
        <v>45</v>
      </c>
      <c r="C46" t="s">
        <v>37</v>
      </c>
      <c r="D46" t="s">
        <v>47</v>
      </c>
      <c r="E46" t="s">
        <v>37</v>
      </c>
      <c r="F46">
        <v>1.15625569999974</v>
      </c>
      <c r="G46">
        <v>1</v>
      </c>
    </row>
    <row r="47" spans="1:7" hidden="1">
      <c r="A47" t="s">
        <v>44</v>
      </c>
      <c r="B47" t="s">
        <v>45</v>
      </c>
      <c r="C47" t="s">
        <v>46</v>
      </c>
      <c r="D47" t="s">
        <v>38</v>
      </c>
      <c r="E47" t="s">
        <v>46</v>
      </c>
      <c r="F47">
        <v>0.92906740000034904</v>
      </c>
      <c r="G47">
        <v>1</v>
      </c>
    </row>
    <row r="48" spans="1:7" hidden="1">
      <c r="A48" t="s">
        <v>44</v>
      </c>
      <c r="B48" t="s">
        <v>45</v>
      </c>
      <c r="C48" t="s">
        <v>46</v>
      </c>
      <c r="D48" t="s">
        <v>38</v>
      </c>
      <c r="E48" t="s">
        <v>46</v>
      </c>
      <c r="F48">
        <v>1.84632770000007</v>
      </c>
      <c r="G48">
        <v>1</v>
      </c>
    </row>
    <row r="49" spans="1:7" hidden="1">
      <c r="A49" t="s">
        <v>44</v>
      </c>
      <c r="B49" t="s">
        <v>45</v>
      </c>
      <c r="C49" t="s">
        <v>46</v>
      </c>
      <c r="D49" t="s">
        <v>38</v>
      </c>
      <c r="E49" t="s">
        <v>46</v>
      </c>
      <c r="F49">
        <v>0.94925049999983402</v>
      </c>
      <c r="G49">
        <v>1</v>
      </c>
    </row>
    <row r="50" spans="1:7">
      <c r="A50" t="s">
        <v>44</v>
      </c>
      <c r="B50" t="s">
        <v>36</v>
      </c>
      <c r="C50" t="s">
        <v>46</v>
      </c>
      <c r="D50" t="s">
        <v>47</v>
      </c>
      <c r="E50" t="s">
        <v>46</v>
      </c>
      <c r="F50">
        <v>0.88629739999942103</v>
      </c>
      <c r="G50">
        <v>1</v>
      </c>
    </row>
    <row r="51" spans="1:7">
      <c r="A51" t="s">
        <v>44</v>
      </c>
      <c r="B51" t="s">
        <v>36</v>
      </c>
      <c r="C51" t="s">
        <v>46</v>
      </c>
      <c r="D51" t="s">
        <v>47</v>
      </c>
      <c r="E51" t="s">
        <v>46</v>
      </c>
      <c r="F51">
        <v>1.19214219999958</v>
      </c>
      <c r="G51">
        <v>1</v>
      </c>
    </row>
    <row r="52" spans="1:7">
      <c r="A52" t="s">
        <v>44</v>
      </c>
      <c r="B52" t="s">
        <v>36</v>
      </c>
      <c r="C52" t="s">
        <v>46</v>
      </c>
      <c r="D52" t="s">
        <v>47</v>
      </c>
      <c r="E52" t="s">
        <v>46</v>
      </c>
      <c r="F52">
        <v>0.93182979999983195</v>
      </c>
      <c r="G52">
        <v>1</v>
      </c>
    </row>
    <row r="53" spans="1:7" hidden="1">
      <c r="A53" t="s">
        <v>44</v>
      </c>
      <c r="B53" t="s">
        <v>45</v>
      </c>
      <c r="C53" t="s">
        <v>46</v>
      </c>
      <c r="D53" t="s">
        <v>38</v>
      </c>
      <c r="E53" t="s">
        <v>46</v>
      </c>
      <c r="F53">
        <v>0.88668200000029096</v>
      </c>
      <c r="G53">
        <v>1</v>
      </c>
    </row>
    <row r="54" spans="1:7" hidden="1">
      <c r="A54" t="s">
        <v>44</v>
      </c>
      <c r="B54" t="s">
        <v>45</v>
      </c>
      <c r="C54" t="s">
        <v>46</v>
      </c>
      <c r="D54" t="s">
        <v>38</v>
      </c>
      <c r="E54" t="s">
        <v>46</v>
      </c>
      <c r="F54">
        <v>1.12113690000023</v>
      </c>
      <c r="G54">
        <v>1</v>
      </c>
    </row>
    <row r="55" spans="1:7" hidden="1">
      <c r="A55" t="s">
        <v>35</v>
      </c>
      <c r="B55" t="s">
        <v>36</v>
      </c>
      <c r="C55" t="s">
        <v>37</v>
      </c>
      <c r="D55" t="s">
        <v>38</v>
      </c>
      <c r="E55" t="s">
        <v>37</v>
      </c>
      <c r="F55">
        <v>0.82481100000040897</v>
      </c>
      <c r="G55">
        <v>1</v>
      </c>
    </row>
    <row r="56" spans="1:7">
      <c r="A56" t="s">
        <v>35</v>
      </c>
      <c r="B56" t="s">
        <v>45</v>
      </c>
      <c r="C56" t="s">
        <v>37</v>
      </c>
      <c r="D56" t="s">
        <v>47</v>
      </c>
      <c r="E56" t="s">
        <v>37</v>
      </c>
      <c r="F56">
        <v>0.89240470000004202</v>
      </c>
      <c r="G56">
        <v>1</v>
      </c>
    </row>
    <row r="57" spans="1:7" hidden="1">
      <c r="A57" t="s">
        <v>44</v>
      </c>
      <c r="B57" t="s">
        <v>45</v>
      </c>
      <c r="C57" t="s">
        <v>46</v>
      </c>
      <c r="D57" t="s">
        <v>38</v>
      </c>
      <c r="E57" t="s">
        <v>46</v>
      </c>
      <c r="F57">
        <v>1.3024923999992</v>
      </c>
      <c r="G57">
        <v>1</v>
      </c>
    </row>
    <row r="58" spans="1:7">
      <c r="A58" t="s">
        <v>35</v>
      </c>
      <c r="B58" t="s">
        <v>45</v>
      </c>
      <c r="C58" t="s">
        <v>37</v>
      </c>
      <c r="D58" t="s">
        <v>47</v>
      </c>
      <c r="E58" t="s">
        <v>37</v>
      </c>
      <c r="F58">
        <v>0.78062420000060195</v>
      </c>
      <c r="G58">
        <v>1</v>
      </c>
    </row>
    <row r="59" spans="1:7" hidden="1">
      <c r="A59" t="s">
        <v>35</v>
      </c>
      <c r="B59" t="s">
        <v>36</v>
      </c>
      <c r="C59" t="s">
        <v>37</v>
      </c>
      <c r="D59" t="s">
        <v>38</v>
      </c>
      <c r="E59" t="s">
        <v>37</v>
      </c>
      <c r="F59">
        <v>0.97528740000052405</v>
      </c>
      <c r="G59">
        <v>1</v>
      </c>
    </row>
    <row r="60" spans="1:7">
      <c r="A60" t="s">
        <v>44</v>
      </c>
      <c r="B60" t="s">
        <v>36</v>
      </c>
      <c r="C60" t="s">
        <v>46</v>
      </c>
      <c r="D60" t="s">
        <v>47</v>
      </c>
      <c r="E60" t="s">
        <v>46</v>
      </c>
      <c r="F60">
        <v>0.81929010000021596</v>
      </c>
      <c r="G60">
        <v>1</v>
      </c>
    </row>
    <row r="61" spans="1:7">
      <c r="A61" t="s">
        <v>44</v>
      </c>
      <c r="B61" t="s">
        <v>36</v>
      </c>
      <c r="C61" t="s">
        <v>46</v>
      </c>
      <c r="D61" t="s">
        <v>47</v>
      </c>
      <c r="E61" t="s">
        <v>46</v>
      </c>
      <c r="F61">
        <v>0.93247260000043697</v>
      </c>
      <c r="G61">
        <v>1</v>
      </c>
    </row>
    <row r="62" spans="1:7">
      <c r="A62" t="s">
        <v>35</v>
      </c>
      <c r="B62" t="s">
        <v>45</v>
      </c>
      <c r="C62" t="s">
        <v>37</v>
      </c>
      <c r="D62" t="s">
        <v>47</v>
      </c>
      <c r="E62" t="s">
        <v>37</v>
      </c>
      <c r="F62">
        <v>0.89734839999982796</v>
      </c>
      <c r="G62">
        <v>1</v>
      </c>
    </row>
    <row r="63" spans="1:7" hidden="1">
      <c r="A63" t="s">
        <v>35</v>
      </c>
      <c r="B63" t="s">
        <v>36</v>
      </c>
      <c r="C63" t="s">
        <v>37</v>
      </c>
      <c r="D63" t="s">
        <v>38</v>
      </c>
      <c r="E63" t="s">
        <v>37</v>
      </c>
      <c r="F63">
        <v>0.90165809999962199</v>
      </c>
      <c r="G63">
        <v>1</v>
      </c>
    </row>
    <row r="64" spans="1:7" hidden="1">
      <c r="A64" t="s">
        <v>44</v>
      </c>
      <c r="B64" t="s">
        <v>45</v>
      </c>
      <c r="C64" t="s">
        <v>46</v>
      </c>
      <c r="D64" t="s">
        <v>38</v>
      </c>
      <c r="E64" t="s">
        <v>46</v>
      </c>
      <c r="F64">
        <v>0.89751539999997398</v>
      </c>
      <c r="G64">
        <v>1</v>
      </c>
    </row>
    <row r="65" spans="1:7" hidden="1">
      <c r="A65" t="s">
        <v>44</v>
      </c>
      <c r="B65" t="s">
        <v>45</v>
      </c>
      <c r="C65" t="s">
        <v>46</v>
      </c>
      <c r="D65" t="s">
        <v>38</v>
      </c>
      <c r="E65" t="s">
        <v>46</v>
      </c>
      <c r="F65">
        <v>1.0184549000005001</v>
      </c>
      <c r="G65">
        <v>1</v>
      </c>
    </row>
    <row r="66" spans="1:7" hidden="1">
      <c r="A66" t="s">
        <v>44</v>
      </c>
      <c r="B66" t="s">
        <v>45</v>
      </c>
      <c r="C66" t="s">
        <v>46</v>
      </c>
      <c r="D66" t="s">
        <v>38</v>
      </c>
      <c r="E66" t="s">
        <v>46</v>
      </c>
      <c r="F66">
        <v>0.96471620000011105</v>
      </c>
      <c r="G66">
        <v>1</v>
      </c>
    </row>
    <row r="67" spans="1:7">
      <c r="A67" t="s">
        <v>35</v>
      </c>
      <c r="B67" t="s">
        <v>45</v>
      </c>
      <c r="C67" t="s">
        <v>37</v>
      </c>
      <c r="D67" t="s">
        <v>47</v>
      </c>
      <c r="E67" t="s">
        <v>37</v>
      </c>
      <c r="F67">
        <v>0.93564599999990605</v>
      </c>
      <c r="G67">
        <v>1</v>
      </c>
    </row>
    <row r="68" spans="1:7">
      <c r="A68" t="s">
        <v>44</v>
      </c>
      <c r="B68" t="s">
        <v>36</v>
      </c>
      <c r="C68" t="s">
        <v>46</v>
      </c>
      <c r="D68" t="s">
        <v>47</v>
      </c>
      <c r="E68" t="s">
        <v>46</v>
      </c>
      <c r="F68">
        <v>0.92844349999995701</v>
      </c>
      <c r="G68">
        <v>1</v>
      </c>
    </row>
    <row r="69" spans="1:7">
      <c r="A69" t="s">
        <v>44</v>
      </c>
      <c r="B69" t="s">
        <v>36</v>
      </c>
      <c r="C69" t="s">
        <v>46</v>
      </c>
      <c r="D69" t="s">
        <v>47</v>
      </c>
      <c r="E69" t="s">
        <v>46</v>
      </c>
      <c r="F69">
        <v>0.88588749999962602</v>
      </c>
      <c r="G69">
        <v>1</v>
      </c>
    </row>
    <row r="70" spans="1:7">
      <c r="A70" t="s">
        <v>44</v>
      </c>
      <c r="B70" t="s">
        <v>36</v>
      </c>
      <c r="C70" t="s">
        <v>46</v>
      </c>
      <c r="D70" t="s">
        <v>47</v>
      </c>
      <c r="E70" t="s">
        <v>46</v>
      </c>
      <c r="F70">
        <v>1.1509818000004</v>
      </c>
      <c r="G70">
        <v>1</v>
      </c>
    </row>
    <row r="71" spans="1:7" hidden="1">
      <c r="A71" t="s">
        <v>35</v>
      </c>
      <c r="B71" t="s">
        <v>36</v>
      </c>
      <c r="C71" t="s">
        <v>37</v>
      </c>
      <c r="D71" t="s">
        <v>38</v>
      </c>
      <c r="E71" t="s">
        <v>37</v>
      </c>
      <c r="F71">
        <v>1.53911550000066</v>
      </c>
      <c r="G71">
        <v>1</v>
      </c>
    </row>
    <row r="72" spans="1:7">
      <c r="A72" t="s">
        <v>35</v>
      </c>
      <c r="B72" t="s">
        <v>45</v>
      </c>
      <c r="C72" t="s">
        <v>37</v>
      </c>
      <c r="D72" t="s">
        <v>47</v>
      </c>
      <c r="E72" t="s">
        <v>37</v>
      </c>
      <c r="F72">
        <v>1.5647671999995501</v>
      </c>
      <c r="G72">
        <v>1</v>
      </c>
    </row>
    <row r="73" spans="1:7" hidden="1">
      <c r="A73" t="s">
        <v>35</v>
      </c>
      <c r="B73" t="s">
        <v>36</v>
      </c>
      <c r="C73" t="s">
        <v>37</v>
      </c>
      <c r="D73" t="s">
        <v>38</v>
      </c>
      <c r="E73" t="s">
        <v>37</v>
      </c>
      <c r="F73">
        <v>1.74211279999963</v>
      </c>
      <c r="G73">
        <v>1</v>
      </c>
    </row>
    <row r="74" spans="1:7">
      <c r="A74" t="s">
        <v>44</v>
      </c>
      <c r="B74" t="s">
        <v>36</v>
      </c>
      <c r="C74" t="s">
        <v>46</v>
      </c>
      <c r="D74" t="s">
        <v>47</v>
      </c>
      <c r="E74" t="s">
        <v>46</v>
      </c>
      <c r="F74">
        <v>0.77508390000002603</v>
      </c>
      <c r="G74">
        <v>1</v>
      </c>
    </row>
    <row r="75" spans="1:7">
      <c r="A75" t="s">
        <v>44</v>
      </c>
      <c r="B75" t="s">
        <v>36</v>
      </c>
      <c r="C75" t="s">
        <v>46</v>
      </c>
      <c r="D75" t="s">
        <v>47</v>
      </c>
      <c r="E75" t="s">
        <v>46</v>
      </c>
      <c r="F75">
        <v>1.2090895000001101</v>
      </c>
      <c r="G75">
        <v>1</v>
      </c>
    </row>
    <row r="76" spans="1:7" hidden="1">
      <c r="A76" t="s">
        <v>44</v>
      </c>
      <c r="B76" t="s">
        <v>45</v>
      </c>
      <c r="C76" t="s">
        <v>46</v>
      </c>
      <c r="D76" t="s">
        <v>38</v>
      </c>
      <c r="E76" t="s">
        <v>46</v>
      </c>
      <c r="F76">
        <v>1.0902065000000201</v>
      </c>
      <c r="G76">
        <v>1</v>
      </c>
    </row>
    <row r="77" spans="1:7" hidden="1">
      <c r="A77" t="s">
        <v>44</v>
      </c>
      <c r="B77" t="s">
        <v>45</v>
      </c>
      <c r="C77" t="s">
        <v>46</v>
      </c>
      <c r="D77" t="s">
        <v>38</v>
      </c>
      <c r="E77" t="s">
        <v>46</v>
      </c>
      <c r="F77">
        <v>1.41834050000034</v>
      </c>
      <c r="G77">
        <v>1</v>
      </c>
    </row>
    <row r="78" spans="1:7" hidden="1">
      <c r="A78" t="s">
        <v>44</v>
      </c>
      <c r="B78" t="s">
        <v>45</v>
      </c>
      <c r="C78" t="s">
        <v>46</v>
      </c>
      <c r="D78" t="s">
        <v>38</v>
      </c>
      <c r="E78" t="s">
        <v>46</v>
      </c>
      <c r="F78">
        <v>1.29012039999997</v>
      </c>
      <c r="G78">
        <v>1</v>
      </c>
    </row>
    <row r="79" spans="1:7">
      <c r="A79" t="s">
        <v>35</v>
      </c>
      <c r="B79" t="s">
        <v>45</v>
      </c>
      <c r="C79" t="s">
        <v>37</v>
      </c>
      <c r="D79" t="s">
        <v>47</v>
      </c>
      <c r="E79" t="s">
        <v>37</v>
      </c>
      <c r="F79">
        <v>1.08239330000014</v>
      </c>
      <c r="G79">
        <v>1</v>
      </c>
    </row>
    <row r="80" spans="1:7" hidden="1">
      <c r="A80" t="s">
        <v>35</v>
      </c>
      <c r="B80" t="s">
        <v>36</v>
      </c>
      <c r="C80" t="s">
        <v>37</v>
      </c>
      <c r="D80" t="s">
        <v>38</v>
      </c>
      <c r="E80" t="s">
        <v>37</v>
      </c>
      <c r="F80">
        <v>1.77935389999947</v>
      </c>
      <c r="G80">
        <v>1</v>
      </c>
    </row>
    <row r="81" spans="1:7">
      <c r="A81" t="s">
        <v>44</v>
      </c>
      <c r="B81" t="s">
        <v>36</v>
      </c>
      <c r="C81" t="s">
        <v>46</v>
      </c>
      <c r="D81" t="s">
        <v>47</v>
      </c>
      <c r="E81" t="s">
        <v>46</v>
      </c>
      <c r="F81">
        <v>1.7210286999997999</v>
      </c>
      <c r="G81">
        <v>1</v>
      </c>
    </row>
    <row r="82" spans="1:7">
      <c r="A82" t="s">
        <v>35</v>
      </c>
      <c r="B82" t="s">
        <v>45</v>
      </c>
      <c r="C82" t="s">
        <v>37</v>
      </c>
      <c r="D82" t="s">
        <v>47</v>
      </c>
      <c r="E82" t="s">
        <v>37</v>
      </c>
      <c r="F82">
        <v>1.0577197999991701</v>
      </c>
      <c r="G82">
        <v>1</v>
      </c>
    </row>
    <row r="83" spans="1:7">
      <c r="A83" t="s">
        <v>44</v>
      </c>
      <c r="B83" t="s">
        <v>36</v>
      </c>
      <c r="C83" t="s">
        <v>46</v>
      </c>
      <c r="D83" t="s">
        <v>47</v>
      </c>
      <c r="E83" t="s">
        <v>46</v>
      </c>
      <c r="F83">
        <v>1.6518955000001301</v>
      </c>
      <c r="G83">
        <v>1</v>
      </c>
    </row>
    <row r="84" spans="1:7" hidden="1">
      <c r="A84" t="s">
        <v>35</v>
      </c>
      <c r="B84" t="s">
        <v>36</v>
      </c>
      <c r="C84" t="s">
        <v>37</v>
      </c>
      <c r="D84" t="s">
        <v>38</v>
      </c>
      <c r="E84" t="s">
        <v>37</v>
      </c>
      <c r="F84">
        <v>1.03851200000008</v>
      </c>
      <c r="G84">
        <v>1</v>
      </c>
    </row>
    <row r="85" spans="1:7">
      <c r="A85" t="s">
        <v>44</v>
      </c>
      <c r="B85" t="s">
        <v>36</v>
      </c>
      <c r="C85" t="s">
        <v>46</v>
      </c>
      <c r="D85" t="s">
        <v>47</v>
      </c>
      <c r="E85" t="s">
        <v>46</v>
      </c>
      <c r="F85">
        <v>1.02815480000026</v>
      </c>
      <c r="G85">
        <v>1</v>
      </c>
    </row>
    <row r="86" spans="1:7" hidden="1">
      <c r="A86" t="s">
        <v>44</v>
      </c>
      <c r="B86" t="s">
        <v>45</v>
      </c>
      <c r="C86" t="s">
        <v>46</v>
      </c>
      <c r="D86" t="s">
        <v>38</v>
      </c>
      <c r="E86" t="s">
        <v>46</v>
      </c>
      <c r="F86">
        <v>0.92773029999989298</v>
      </c>
      <c r="G86">
        <v>1</v>
      </c>
    </row>
    <row r="87" spans="1:7" hidden="1">
      <c r="A87" t="s">
        <v>44</v>
      </c>
      <c r="B87" t="s">
        <v>45</v>
      </c>
      <c r="C87" t="s">
        <v>46</v>
      </c>
      <c r="D87" t="s">
        <v>38</v>
      </c>
      <c r="E87" t="s">
        <v>46</v>
      </c>
      <c r="F87">
        <v>1.01114880000022</v>
      </c>
      <c r="G87">
        <v>1</v>
      </c>
    </row>
    <row r="88" spans="1:7" hidden="1">
      <c r="A88" t="s">
        <v>44</v>
      </c>
      <c r="B88" t="s">
        <v>45</v>
      </c>
      <c r="C88" t="s">
        <v>46</v>
      </c>
      <c r="D88" t="s">
        <v>38</v>
      </c>
      <c r="E88" t="s">
        <v>46</v>
      </c>
      <c r="F88">
        <v>1.0009676999998101</v>
      </c>
      <c r="G88">
        <v>1</v>
      </c>
    </row>
    <row r="89" spans="1:7">
      <c r="A89" t="s">
        <v>44</v>
      </c>
      <c r="B89" t="s">
        <v>36</v>
      </c>
      <c r="C89" t="s">
        <v>46</v>
      </c>
      <c r="D89" t="s">
        <v>47</v>
      </c>
      <c r="E89" t="s">
        <v>46</v>
      </c>
      <c r="F89">
        <v>1.1564319999997601</v>
      </c>
      <c r="G89">
        <v>1</v>
      </c>
    </row>
    <row r="90" spans="1:7" hidden="1">
      <c r="A90" t="s">
        <v>35</v>
      </c>
      <c r="B90" t="s">
        <v>36</v>
      </c>
      <c r="C90" t="s">
        <v>37</v>
      </c>
      <c r="D90" t="s">
        <v>38</v>
      </c>
      <c r="E90" t="s">
        <v>37</v>
      </c>
      <c r="F90">
        <v>2.6221642000000398</v>
      </c>
      <c r="G90">
        <v>1</v>
      </c>
    </row>
    <row r="91" spans="1:7">
      <c r="A91" t="s">
        <v>35</v>
      </c>
      <c r="B91" t="s">
        <v>45</v>
      </c>
      <c r="C91" t="s">
        <v>37</v>
      </c>
      <c r="D91" t="s">
        <v>47</v>
      </c>
      <c r="E91" t="s">
        <v>37</v>
      </c>
      <c r="F91">
        <v>1.3638835000001499</v>
      </c>
      <c r="G91">
        <v>1</v>
      </c>
    </row>
    <row r="92" spans="1:7" hidden="1">
      <c r="A92" t="s">
        <v>35</v>
      </c>
      <c r="B92" t="s">
        <v>36</v>
      </c>
      <c r="C92" t="s">
        <v>37</v>
      </c>
      <c r="D92" t="s">
        <v>38</v>
      </c>
      <c r="E92" t="s">
        <v>37</v>
      </c>
      <c r="F92">
        <v>0.95168300000022998</v>
      </c>
      <c r="G92">
        <v>1</v>
      </c>
    </row>
    <row r="93" spans="1:7">
      <c r="A93" t="s">
        <v>35</v>
      </c>
      <c r="B93" t="s">
        <v>45</v>
      </c>
      <c r="C93" t="s">
        <v>37</v>
      </c>
      <c r="D93" t="s">
        <v>47</v>
      </c>
      <c r="E93" t="s">
        <v>37</v>
      </c>
      <c r="F93">
        <v>0.95837050000045498</v>
      </c>
      <c r="G93">
        <v>1</v>
      </c>
    </row>
    <row r="94" spans="1:7">
      <c r="A94" t="s">
        <v>44</v>
      </c>
      <c r="B94" t="s">
        <v>36</v>
      </c>
      <c r="C94" t="s">
        <v>46</v>
      </c>
      <c r="D94" t="s">
        <v>47</v>
      </c>
      <c r="E94" t="s">
        <v>46</v>
      </c>
      <c r="F94">
        <v>0.93017039999995099</v>
      </c>
      <c r="G94">
        <v>1</v>
      </c>
    </row>
    <row r="95" spans="1:7">
      <c r="A95" t="s">
        <v>44</v>
      </c>
      <c r="B95" t="s">
        <v>36</v>
      </c>
      <c r="C95" t="s">
        <v>46</v>
      </c>
      <c r="D95" t="s">
        <v>47</v>
      </c>
      <c r="E95" t="s">
        <v>46</v>
      </c>
      <c r="F95">
        <v>1.1182616000005501</v>
      </c>
      <c r="G95">
        <v>1</v>
      </c>
    </row>
    <row r="96" spans="1:7" hidden="1">
      <c r="A96" t="s">
        <v>44</v>
      </c>
      <c r="B96" t="s">
        <v>45</v>
      </c>
      <c r="C96" t="s">
        <v>46</v>
      </c>
      <c r="D96" t="s">
        <v>38</v>
      </c>
      <c r="E96" t="s">
        <v>46</v>
      </c>
      <c r="F96">
        <v>1.9186036000000899</v>
      </c>
      <c r="G96">
        <v>1</v>
      </c>
    </row>
    <row r="97" spans="1:12">
      <c r="A97" t="s">
        <v>35</v>
      </c>
      <c r="B97" t="s">
        <v>45</v>
      </c>
      <c r="C97" t="s">
        <v>37</v>
      </c>
      <c r="D97" t="s">
        <v>47</v>
      </c>
      <c r="E97" t="s">
        <v>37</v>
      </c>
      <c r="F97">
        <v>1.12410420000014</v>
      </c>
      <c r="G97">
        <v>1</v>
      </c>
    </row>
    <row r="98" spans="1:12" hidden="1">
      <c r="A98" t="s">
        <v>35</v>
      </c>
      <c r="B98" t="s">
        <v>36</v>
      </c>
      <c r="C98" t="s">
        <v>37</v>
      </c>
      <c r="D98" t="s">
        <v>38</v>
      </c>
      <c r="E98" t="s">
        <v>37</v>
      </c>
      <c r="F98">
        <v>2.72276549999969</v>
      </c>
      <c r="G98">
        <v>1</v>
      </c>
    </row>
    <row r="99" spans="1:12">
      <c r="A99" t="s">
        <v>44</v>
      </c>
      <c r="B99" t="s">
        <v>36</v>
      </c>
      <c r="C99" t="s">
        <v>46</v>
      </c>
      <c r="D99" t="s">
        <v>47</v>
      </c>
      <c r="E99" t="s">
        <v>46</v>
      </c>
      <c r="F99">
        <v>0.91683390000070997</v>
      </c>
      <c r="G99">
        <v>1</v>
      </c>
    </row>
    <row r="100" spans="1:12" hidden="1">
      <c r="A100" t="s">
        <v>44</v>
      </c>
      <c r="B100" t="s">
        <v>45</v>
      </c>
      <c r="C100" t="s">
        <v>46</v>
      </c>
      <c r="D100" t="s">
        <v>38</v>
      </c>
      <c r="E100" t="s">
        <v>46</v>
      </c>
      <c r="F100">
        <v>0.96265809999931595</v>
      </c>
      <c r="G100">
        <v>1</v>
      </c>
    </row>
    <row r="101" spans="1:12" hidden="1">
      <c r="A101" t="s">
        <v>44</v>
      </c>
      <c r="B101" t="s">
        <v>45</v>
      </c>
      <c r="C101" t="s">
        <v>46</v>
      </c>
      <c r="D101" t="s">
        <v>38</v>
      </c>
      <c r="E101" t="s">
        <v>46</v>
      </c>
      <c r="F101">
        <v>0.992351900000358</v>
      </c>
      <c r="G101">
        <v>1</v>
      </c>
    </row>
    <row r="102" spans="1:12">
      <c r="I102" t="s">
        <v>48</v>
      </c>
      <c r="K102" t="s">
        <v>49</v>
      </c>
    </row>
    <row r="103" spans="1:12">
      <c r="I103" t="s">
        <v>50</v>
      </c>
      <c r="J103">
        <f>AVERAGE(F2:F101)</f>
        <v>1.090557316999982</v>
      </c>
      <c r="K103" t="s">
        <v>50</v>
      </c>
      <c r="L103">
        <f>AVERAGE(G2:G101)</f>
        <v>1</v>
      </c>
    </row>
    <row r="104" spans="1:12">
      <c r="I104" t="s">
        <v>51</v>
      </c>
      <c r="J104">
        <f>AVERAGE(F4:F99)</f>
        <v>1.0877066593749849</v>
      </c>
      <c r="K104" t="s">
        <v>51</v>
      </c>
      <c r="L104">
        <f>AVERAGE(G4:G99)</f>
        <v>1</v>
      </c>
    </row>
  </sheetData>
  <autoFilter ref="D1:D101" xr:uid="{9B59F535-5F0B-4AFC-BB8E-0FD066333B7D}">
    <filterColumn colId="0">
      <filters>
        <filter val="incongruent"/>
      </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2025-11-17T07:25:29Z</dcterms:created>
  <dcterms:modified xsi:type="dcterms:W3CDTF">2025-11-17T07:40:51Z</dcterms:modified>
  <cp:category/>
  <cp:contentStatus/>
</cp:coreProperties>
</file>